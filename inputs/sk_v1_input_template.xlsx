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alnaakademiask-my.sharepoint.com/personal/samuel_valek_dualnaakademia_sk/Documents/Pracovná plocha/uvazky FINAL/"/>
    </mc:Choice>
  </mc:AlternateContent>
  <xr:revisionPtr revIDLastSave="0" documentId="8_{812E3459-E052-48DA-B124-9860F8AE6241}" xr6:coauthVersionLast="47" xr6:coauthVersionMax="47" xr10:uidLastSave="{00000000-0000-0000-0000-000000000000}"/>
  <bookViews>
    <workbookView xWindow="-120" yWindow="-120" windowWidth="29040" windowHeight="15720" activeTab="3" xr2:uid="{6008D966-338D-42A3-A8DE-4E6AB2469145}"/>
  </bookViews>
  <sheets>
    <sheet name="Hodiny" sheetId="1" r:id="rId1"/>
    <sheet name="Učitelia" sheetId="2" r:id="rId2"/>
    <sheet name="Preferencie" sheetId="3" r:id="rId3"/>
    <sheet name="Predmety a skratky" sheetId="4" r:id="rId4"/>
  </sheets>
  <definedNames>
    <definedName name="TeacherDropDownList">teachers[Combined ID and name]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B1" i="3" a="1"/>
  <c r="B1" i="3" s="1"/>
  <c r="A2" i="3" a="1"/>
  <c r="A2" i="3" s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2" i="2"/>
  <c r="L1" i="2" a="1"/>
  <c r="L1" i="2" s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<sst xmlns="http://schemas.openxmlformats.org/spreadsheetml/2006/main" count="1301" uniqueCount="285">
  <si>
    <t>Predmet</t>
  </si>
  <si>
    <t>Skratka</t>
  </si>
  <si>
    <t>anglický jazyk</t>
  </si>
  <si>
    <t>ANJ</t>
  </si>
  <si>
    <t>aplikovaná ekológia</t>
  </si>
  <si>
    <t>AEC</t>
  </si>
  <si>
    <t>aplikovaná informatika</t>
  </si>
  <si>
    <t>API</t>
  </si>
  <si>
    <t>automatizácia</t>
  </si>
  <si>
    <t>AUT</t>
  </si>
  <si>
    <t>automobilová technika a opravárenstvo</t>
  </si>
  <si>
    <t>AOO</t>
  </si>
  <si>
    <t>automobily</t>
  </si>
  <si>
    <t>AUO</t>
  </si>
  <si>
    <t>dejepis</t>
  </si>
  <si>
    <t>DEJ</t>
  </si>
  <si>
    <t>diagnostika a opravy automobilov</t>
  </si>
  <si>
    <t>DOA</t>
  </si>
  <si>
    <t>diagnostika chladiacich zariadení</t>
  </si>
  <si>
    <t>DIG</t>
  </si>
  <si>
    <t>ekonomika</t>
  </si>
  <si>
    <t>EKO</t>
  </si>
  <si>
    <t>elektrické merania</t>
  </si>
  <si>
    <t>ELR</t>
  </si>
  <si>
    <t>elektrické stroje a prístroje</t>
  </si>
  <si>
    <t>ESP</t>
  </si>
  <si>
    <t>elektrické zariadenia</t>
  </si>
  <si>
    <t>EZR</t>
  </si>
  <si>
    <t>elektronika</t>
  </si>
  <si>
    <t>ELE</t>
  </si>
  <si>
    <t>elektropríslušenstvo motorových vozidiel</t>
  </si>
  <si>
    <t>EMD</t>
  </si>
  <si>
    <t>elektrotechnická spôsobilosť</t>
  </si>
  <si>
    <t>ETS</t>
  </si>
  <si>
    <t>elektrotechnika</t>
  </si>
  <si>
    <t>ELK</t>
  </si>
  <si>
    <t>elektrotechnológia</t>
  </si>
  <si>
    <t>ELG</t>
  </si>
  <si>
    <t>energetické zdroje a zariadenia</t>
  </si>
  <si>
    <t>EZZ</t>
  </si>
  <si>
    <t>environmentálne technológie</t>
  </si>
  <si>
    <t>ETE</t>
  </si>
  <si>
    <t>etická výchova</t>
  </si>
  <si>
    <t>ETV</t>
  </si>
  <si>
    <t>fyzika</t>
  </si>
  <si>
    <t>FYZ</t>
  </si>
  <si>
    <t>grafické systémy</t>
  </si>
  <si>
    <t>GRS</t>
  </si>
  <si>
    <t>gramatika v anglickom jazyku</t>
  </si>
  <si>
    <t>GAJ</t>
  </si>
  <si>
    <t>chémia</t>
  </si>
  <si>
    <t>CHE</t>
  </si>
  <si>
    <t>informatika</t>
  </si>
  <si>
    <t>INF</t>
  </si>
  <si>
    <t>konverzácia a reálie</t>
  </si>
  <si>
    <t>KOR</t>
  </si>
  <si>
    <t>matematika</t>
  </si>
  <si>
    <t>MAT</t>
  </si>
  <si>
    <t>mechatronika</t>
  </si>
  <si>
    <t>MNK</t>
  </si>
  <si>
    <t>náboženská výchova</t>
  </si>
  <si>
    <t>NBV</t>
  </si>
  <si>
    <t>nemecký jazyk</t>
  </si>
  <si>
    <t>NEJ</t>
  </si>
  <si>
    <t>občianska náuka</t>
  </si>
  <si>
    <t>OBN</t>
  </si>
  <si>
    <t>odborná angličtina</t>
  </si>
  <si>
    <t>OAG</t>
  </si>
  <si>
    <t>odborná prax</t>
  </si>
  <si>
    <t>PRX</t>
  </si>
  <si>
    <t>odborný výcvik</t>
  </si>
  <si>
    <t>OVY</t>
  </si>
  <si>
    <t>prevádzka dielne</t>
  </si>
  <si>
    <t>PDQ</t>
  </si>
  <si>
    <t>riadiace systémy</t>
  </si>
  <si>
    <t>RIS</t>
  </si>
  <si>
    <t>ročníkový projekt</t>
  </si>
  <si>
    <t>RPJ</t>
  </si>
  <si>
    <t>rozvod a využitie elektrickej energie</t>
  </si>
  <si>
    <t>RVJ</t>
  </si>
  <si>
    <t>sieťové technológie</t>
  </si>
  <si>
    <t>SIE</t>
  </si>
  <si>
    <t>slovenský jazyk a literatúra</t>
  </si>
  <si>
    <t>SJL</t>
  </si>
  <si>
    <t>strojárska technológia</t>
  </si>
  <si>
    <t>STT</t>
  </si>
  <si>
    <t>strojárstvo</t>
  </si>
  <si>
    <t>STR</t>
  </si>
  <si>
    <t>strojníctvo</t>
  </si>
  <si>
    <t>STN</t>
  </si>
  <si>
    <t>špecifické technológie a techniky</t>
  </si>
  <si>
    <t>SXX</t>
  </si>
  <si>
    <t>technické kreslenie</t>
  </si>
  <si>
    <t>TCK</t>
  </si>
  <si>
    <t>technológia montáže</t>
  </si>
  <si>
    <t>TMO</t>
  </si>
  <si>
    <t>telesná a športová výchova</t>
  </si>
  <si>
    <t>TSV</t>
  </si>
  <si>
    <t>úvod do sveta práce</t>
  </si>
  <si>
    <t>USP</t>
  </si>
  <si>
    <t>chladiace a klimatizačné zariadenia</t>
  </si>
  <si>
    <t>CHZ</t>
  </si>
  <si>
    <t>ID</t>
  </si>
  <si>
    <t>Trieda</t>
  </si>
  <si>
    <t>Názov</t>
  </si>
  <si>
    <t>Dotácia za 2 týždne</t>
  </si>
  <si>
    <t>Týždeň</t>
  </si>
  <si>
    <t>1AUA</t>
  </si>
  <si>
    <t>Anglický jazyk 1</t>
  </si>
  <si>
    <t>Párny týždeň</t>
  </si>
  <si>
    <t>Anglický jazyk 2</t>
  </si>
  <si>
    <t>Dejepis</t>
  </si>
  <si>
    <t>Elektrotechnika 1</t>
  </si>
  <si>
    <t>Elektrotechnika 2</t>
  </si>
  <si>
    <t>Etická výchova</t>
  </si>
  <si>
    <t>Fyzika 1</t>
  </si>
  <si>
    <t>Fyzika 2</t>
  </si>
  <si>
    <t>Informatika 1</t>
  </si>
  <si>
    <t>Informatika 2</t>
  </si>
  <si>
    <t>Matematika</t>
  </si>
  <si>
    <t>Náboženská výchova</t>
  </si>
  <si>
    <t>Slovenský jazyk a literatúra</t>
  </si>
  <si>
    <t>Strojárska technológia 1</t>
  </si>
  <si>
    <t>Strojárska technológia 2</t>
  </si>
  <si>
    <t>Strojárstvo 1</t>
  </si>
  <si>
    <t>Strojárstvo 2</t>
  </si>
  <si>
    <t>Technické kreslenie 1</t>
  </si>
  <si>
    <t>Technické kreslenie 2</t>
  </si>
  <si>
    <t>Telesná a športová výchova 1</t>
  </si>
  <si>
    <t>Telesná a športová výchova 2</t>
  </si>
  <si>
    <t>1AUB</t>
  </si>
  <si>
    <t>1MM</t>
  </si>
  <si>
    <t>Anglický jazyk</t>
  </si>
  <si>
    <t>Fyzika</t>
  </si>
  <si>
    <t>Mechatronika 1</t>
  </si>
  <si>
    <t>Mechatronika 2</t>
  </si>
  <si>
    <t>Strojníctvo</t>
  </si>
  <si>
    <t>Telesná a športová výchova</t>
  </si>
  <si>
    <t>1MEAT</t>
  </si>
  <si>
    <t>Automatizácia</t>
  </si>
  <si>
    <t>Elektrické merania</t>
  </si>
  <si>
    <t>Elektrotechnika</t>
  </si>
  <si>
    <t>Elektrotechnológia</t>
  </si>
  <si>
    <t>Informatika</t>
  </si>
  <si>
    <t>Technické kreslenie</t>
  </si>
  <si>
    <t>1M</t>
  </si>
  <si>
    <t>1MEOI</t>
  </si>
  <si>
    <t>Sieťové technológie</t>
  </si>
  <si>
    <t>1MEHVAC/ST</t>
  </si>
  <si>
    <t>Elektrické stroje a prístroje</t>
  </si>
  <si>
    <t>1TLA</t>
  </si>
  <si>
    <t>Každý týždeň</t>
  </si>
  <si>
    <t>Gramatika v anglickom jazyku 1</t>
  </si>
  <si>
    <t>Gramatika v anglickom jazyku 2</t>
  </si>
  <si>
    <t>Chémia</t>
  </si>
  <si>
    <t>Konverzácia a reálie 1</t>
  </si>
  <si>
    <t>Konverzácia a reálie 2</t>
  </si>
  <si>
    <t>1TLB</t>
  </si>
  <si>
    <t>2AUA</t>
  </si>
  <si>
    <t>Nepárny týždeň</t>
  </si>
  <si>
    <t>Automobilová technika a opravárenstvo 1</t>
  </si>
  <si>
    <t>Automobilová technika a opravárenstvo 2</t>
  </si>
  <si>
    <t>Elektropríslušenstvo motorových vozidiel</t>
  </si>
  <si>
    <t>Elektronika</t>
  </si>
  <si>
    <t>Občianska náuka</t>
  </si>
  <si>
    <t>2AUB</t>
  </si>
  <si>
    <t>2MM</t>
  </si>
  <si>
    <t>Elektronika 1</t>
  </si>
  <si>
    <t>Elektronika 2</t>
  </si>
  <si>
    <t>Strojárska technológia</t>
  </si>
  <si>
    <t>2MEAT</t>
  </si>
  <si>
    <t>Automatizácia 1</t>
  </si>
  <si>
    <t>Automatizácia 2</t>
  </si>
  <si>
    <t>Elektrické merania 1</t>
  </si>
  <si>
    <t>Elektrické merania 2</t>
  </si>
  <si>
    <t>Elektrické zariadenia 1</t>
  </si>
  <si>
    <t>Elektrické zariadenia 2</t>
  </si>
  <si>
    <t>2M</t>
  </si>
  <si>
    <t>2MEOI</t>
  </si>
  <si>
    <t>Aplikovaná informatika</t>
  </si>
  <si>
    <t>Odborná angličtina</t>
  </si>
  <si>
    <t>2MEHVAC/ST</t>
  </si>
  <si>
    <t>Elektrické zariadenia</t>
  </si>
  <si>
    <t>2A</t>
  </si>
  <si>
    <t>Automobily</t>
  </si>
  <si>
    <t>Diagnostika a opravy automobilov</t>
  </si>
  <si>
    <t>Ekonomika</t>
  </si>
  <si>
    <t>2TL</t>
  </si>
  <si>
    <t>Aplikovaná ekológia</t>
  </si>
  <si>
    <t>Energetické zdroje a zariadenia</t>
  </si>
  <si>
    <t>Environmentálne technológie</t>
  </si>
  <si>
    <t>Grafické systémy 1</t>
  </si>
  <si>
    <t>Grafické systémy 2</t>
  </si>
  <si>
    <t>Nemecký jazyk 1</t>
  </si>
  <si>
    <t>Nemecký jazyk 2</t>
  </si>
  <si>
    <t>Odborná prax</t>
  </si>
  <si>
    <t>Ročníkový projekt 1</t>
  </si>
  <si>
    <t>Ročníkový projekt 2</t>
  </si>
  <si>
    <t>3AUA</t>
  </si>
  <si>
    <t>Elektropríslušenstvo motorových vozidiel 1</t>
  </si>
  <si>
    <t>Elektropríslušenstvo motorových vozidiel 2</t>
  </si>
  <si>
    <t>Prevádzka dielne</t>
  </si>
  <si>
    <t>3AUB</t>
  </si>
  <si>
    <t>3MM</t>
  </si>
  <si>
    <t>3MEAT</t>
  </si>
  <si>
    <t>Riadiace systémy 1</t>
  </si>
  <si>
    <t>Riadiace systémy 2</t>
  </si>
  <si>
    <t>3M</t>
  </si>
  <si>
    <t>3MEOI</t>
  </si>
  <si>
    <t>3MEHVAC/ST</t>
  </si>
  <si>
    <t>3MEHVAC</t>
  </si>
  <si>
    <t>Diagnostika chladiacich zariadení</t>
  </si>
  <si>
    <t>3MEST</t>
  </si>
  <si>
    <t>Rozvod a využitie elektrickej energie</t>
  </si>
  <si>
    <t>3A</t>
  </si>
  <si>
    <t>Úvod do sveta práce</t>
  </si>
  <si>
    <t>4AU</t>
  </si>
  <si>
    <t>Elektrotechnická spôsobilosť</t>
  </si>
  <si>
    <t>Matematika 1</t>
  </si>
  <si>
    <t>Matematika 2</t>
  </si>
  <si>
    <t>Slovenský jazyk a literatúra 1</t>
  </si>
  <si>
    <t>Slovenský jazyk a literatúra 2</t>
  </si>
  <si>
    <t>4MM</t>
  </si>
  <si>
    <t>Grafické systémy</t>
  </si>
  <si>
    <t>4MEAT</t>
  </si>
  <si>
    <t>Riadiace systémy</t>
  </si>
  <si>
    <t>4AU/MM/MEAT</t>
  </si>
  <si>
    <t>Nemecký jazyk</t>
  </si>
  <si>
    <t>4MSZ/MEOI</t>
  </si>
  <si>
    <t>4MEOI</t>
  </si>
  <si>
    <t>4MSZ</t>
  </si>
  <si>
    <t>Špecifické technológie a techniky</t>
  </si>
  <si>
    <t>Technológia montáže</t>
  </si>
  <si>
    <t>Učiteľ</t>
  </si>
  <si>
    <t>Titul pred menom</t>
  </si>
  <si>
    <t>Meno a priezvisko</t>
  </si>
  <si>
    <t>Titul za menom</t>
  </si>
  <si>
    <t>Min úväzok (2 týždňový)</t>
  </si>
  <si>
    <t>Cieľový úväzok (2 týždňový)</t>
  </si>
  <si>
    <t>Max úväzok (2 týždňový)</t>
  </si>
  <si>
    <t>Ing.</t>
  </si>
  <si>
    <t>Učiteľ 1</t>
  </si>
  <si>
    <t>Mgr.</t>
  </si>
  <si>
    <t>Učiteľ 2</t>
  </si>
  <si>
    <t>Učiteľ 3</t>
  </si>
  <si>
    <t>Učiteľ 4</t>
  </si>
  <si>
    <t>Učiteľ 5</t>
  </si>
  <si>
    <t>Učiteľ 6</t>
  </si>
  <si>
    <t>Učiteľ 7</t>
  </si>
  <si>
    <t>Učiteľ 8</t>
  </si>
  <si>
    <t>Učiteľ 9</t>
  </si>
  <si>
    <t>PhD.</t>
  </si>
  <si>
    <t>Učiteľ 10</t>
  </si>
  <si>
    <t>Učiteľ 11</t>
  </si>
  <si>
    <t>Učiteľ 12</t>
  </si>
  <si>
    <t>Učiteľ 13</t>
  </si>
  <si>
    <t>Učiteľ 14</t>
  </si>
  <si>
    <t>Učiteľ 15</t>
  </si>
  <si>
    <t>Učiteľ 16</t>
  </si>
  <si>
    <t>Učiteľ 17</t>
  </si>
  <si>
    <t>Učiteľ 18</t>
  </si>
  <si>
    <t>Učiteľ 19</t>
  </si>
  <si>
    <t>Učiteľ 20</t>
  </si>
  <si>
    <t>Učiteľ 21</t>
  </si>
  <si>
    <t>Učiteľ 22</t>
  </si>
  <si>
    <t>Učiteľ 23</t>
  </si>
  <si>
    <t>Učiteľ 24</t>
  </si>
  <si>
    <t>Učiteľ 25</t>
  </si>
  <si>
    <t>Učiteľ 26</t>
  </si>
  <si>
    <t>Bc.</t>
  </si>
  <si>
    <t>Učiteľ 27</t>
  </si>
  <si>
    <t>Učiteľ 28</t>
  </si>
  <si>
    <t>Učiteľ 29</t>
  </si>
  <si>
    <t>Učiteľ 30</t>
  </si>
  <si>
    <t>Učiteľ 31</t>
  </si>
  <si>
    <t>Učiteľ 32</t>
  </si>
  <si>
    <t>Učiteľ 33</t>
  </si>
  <si>
    <t>Učiteľ 34</t>
  </si>
  <si>
    <t>Učiteľ 35</t>
  </si>
  <si>
    <t>Učiteľ 36</t>
  </si>
  <si>
    <t>Učiteľ 37</t>
  </si>
  <si>
    <t>Týždenný minimálny úväzok</t>
  </si>
  <si>
    <t>Týždenný cieľový úväzok</t>
  </si>
  <si>
    <t>Týždenný maximálny úväzok</t>
  </si>
  <si>
    <t>Combined ID and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</si>
</sst>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álna" xfId="0" builtinId="0"/>
  </cellStyles>
  <dxfs count="2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684751-7959-4E74-8D10-6E64B09C77B4}" name="lessons" displayName="lessons" ref="A1:F370" totalsRowShown="0" headerRowDxfId="20" dataDxfId="19">
  <autoFilter ref="A1:F370" xr:uid="{9A684751-7959-4E74-8D10-6E64B09C77B4}"/>
  <tableColumns count="6">
    <tableColumn id="1" xr3:uid="{6F3C11BF-751D-4F24-831D-E194E26129AF}" name="ID" dataDxfId="18">
      <calculatedColumnFormula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calculatedColumnFormula>
    </tableColumn>
    <tableColumn id="2" xr3:uid="{3B8ADDE6-9EE3-4B21-8461-05DD2D00DD35}" name="Trieda" dataDxfId="17"/>
    <tableColumn id="3" xr3:uid="{045511D7-11A0-44EA-8B73-8E717F7084D1}" name="Názov" dataDxfId="16"/>
    <tableColumn id="4" xr3:uid="{26920188-A84E-4053-A0EA-F7B969151EC3}" name="Dotácia za 2 týždne" dataDxfId="15"/>
    <tableColumn id="5" xr3:uid="{6FDDFF7A-9D95-4C37-A225-E642DDEE3FF2}" name="Týždeň" dataDxfId="14"/>
    <tableColumn id="6" xr3:uid="{116D1187-471B-4B95-BF0B-04957346710F}" name="Učiteľ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D6C824-89EB-459B-9C64-BA8ECD0E5098}" name="teachers" displayName="teachers" ref="A1:K38" totalsRowShown="0" headerRowDxfId="12" dataDxfId="11">
  <autoFilter ref="A1:K38" xr:uid="{8DD6C824-89EB-459B-9C64-BA8ECD0E5098}"/>
  <tableColumns count="11">
    <tableColumn id="1" xr3:uid="{5AA85512-E943-455F-AA69-FC9C75B23702}" name="ID" dataDxfId="10"/>
    <tableColumn id="2" xr3:uid="{47F076C6-B25B-4A3B-BB74-6951EFC7FC90}" name="Meno a priezvisko" dataDxfId="9"/>
    <tableColumn id="3" xr3:uid="{4748858C-225A-4F1D-9201-5F5B25E17752}" name="Titul pred menom" dataDxfId="8"/>
    <tableColumn id="4" xr3:uid="{8D90D557-781D-4103-999F-203E4675E962}" name="Titul za menom" dataDxfId="7"/>
    <tableColumn id="5" xr3:uid="{96744231-3A5B-4459-8107-769659DF5BCD}" name="Týždenný minimálny úväzok" dataDxfId="6"/>
    <tableColumn id="6" xr3:uid="{7C2979FD-43D5-44AB-805A-E596D12D3D40}" name="Týždenný cieľový úväzok" dataDxfId="5"/>
    <tableColumn id="7" xr3:uid="{22362055-D3D1-4C45-B72A-EF1933C9C243}" name="Týždenný maximálny úväzok" dataDxfId="4"/>
    <tableColumn id="8" xr3:uid="{F1C55452-1B6C-4638-8208-11AE3AF72E14}" name="Min úväzok (2 týždňový)" dataDxfId="3">
      <calculatedColumnFormula>teachers[[#This Row],[Týždenný minimálny úväzok]]*2</calculatedColumnFormula>
    </tableColumn>
    <tableColumn id="9" xr3:uid="{E4622A6E-1DAA-4934-BC19-6B23148C4B03}" name="Cieľový úväzok (2 týždňový)" dataDxfId="2">
      <calculatedColumnFormula>teachers[[#This Row],[Týždenný cieľový úväzok]]*2</calculatedColumnFormula>
    </tableColumn>
    <tableColumn id="10" xr3:uid="{AFFD0E38-6CEC-46B2-A14C-2EFA985B0F47}" name="Max úväzok (2 týždňový)" dataDxfId="1">
      <calculatedColumnFormula>teachers[[#This Row],[Týždenný maximálny úväzok]]*2</calculatedColumnFormula>
    </tableColumn>
    <tableColumn id="11" xr3:uid="{3F1B77CB-8419-4953-B370-7D6442597773}" name="Combined ID and name" dataDxfId="0">
      <calculatedColumnFormula>teachers[[#This Row],[ID]] &amp; " - " &amp; teachers[[#This Row],[Meno a priezvisko]]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712D51-3B4E-417C-9348-160F1844B0EB}" name="subjects" displayName="subjects" ref="A1:B51" totalsRowShown="0" dataDxfId="23">
  <autoFilter ref="A1:B51" xr:uid="{3D712D51-3B4E-417C-9348-160F1844B0EB}"/>
  <tableColumns count="2">
    <tableColumn id="1" xr3:uid="{83EAD876-DA95-4C7A-A9BE-588F7AE4BD4A}" name="Predmet" dataDxfId="22"/>
    <tableColumn id="2" xr3:uid="{6E927777-304F-4916-85D1-FD13D6F1C7B2}" name="Skratka" dataDxfId="2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F937-95BC-4C5B-9E03-E01DDFDEF120}">
  <dimension ref="A1:F370"/>
  <sheetViews>
    <sheetView workbookViewId="0">
      <selection activeCell="J19" sqref="J19"/>
    </sheetView>
  </sheetViews>
  <sheetFormatPr defaultRowHeight="15" x14ac:dyDescent="0.25"/>
  <cols>
    <col min="1" max="1" width="19.5703125" bestFit="1" customWidth="1"/>
    <col min="2" max="2" width="13.85546875" bestFit="1" customWidth="1"/>
    <col min="3" max="3" width="39.140625" bestFit="1" customWidth="1"/>
    <col min="4" max="4" width="22.85546875" bestFit="1" customWidth="1"/>
    <col min="5" max="5" width="14.5703125" bestFit="1" customWidth="1"/>
    <col min="6" max="6" width="10.85546875" bestFit="1" customWidth="1"/>
  </cols>
  <sheetData>
    <row r="1" spans="1:6" x14ac:dyDescent="0.2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233</v>
      </c>
    </row>
    <row r="2" spans="1:6" x14ac:dyDescent="0.25">
      <c r="A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1AUA-ANJ-1</v>
      </c>
      <c r="B2" s="2" t="s">
        <v>107</v>
      </c>
      <c r="C2" s="2" t="s">
        <v>108</v>
      </c>
      <c r="D2" s="2">
        <v>6</v>
      </c>
      <c r="E2" s="2" t="s">
        <v>109</v>
      </c>
      <c r="F2" s="2"/>
    </row>
    <row r="3" spans="1:6" x14ac:dyDescent="0.25">
      <c r="A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1AUA-ANJ-2</v>
      </c>
      <c r="B3" s="2" t="s">
        <v>107</v>
      </c>
      <c r="C3" s="2" t="s">
        <v>110</v>
      </c>
      <c r="D3" s="2">
        <v>6</v>
      </c>
      <c r="E3" s="2" t="s">
        <v>109</v>
      </c>
      <c r="F3" s="2"/>
    </row>
    <row r="4" spans="1:6" x14ac:dyDescent="0.25">
      <c r="A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1AUA-DEJ-1</v>
      </c>
      <c r="B4" s="2" t="s">
        <v>107</v>
      </c>
      <c r="C4" s="2" t="s">
        <v>111</v>
      </c>
      <c r="D4" s="2">
        <v>2</v>
      </c>
      <c r="E4" s="2" t="s">
        <v>109</v>
      </c>
      <c r="F4" s="2"/>
    </row>
    <row r="5" spans="1:6" x14ac:dyDescent="0.25">
      <c r="A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1AUA-ELK-1</v>
      </c>
      <c r="B5" s="2" t="s">
        <v>107</v>
      </c>
      <c r="C5" s="2" t="s">
        <v>112</v>
      </c>
      <c r="D5" s="2">
        <v>4</v>
      </c>
      <c r="E5" s="2" t="s">
        <v>109</v>
      </c>
      <c r="F5" s="2"/>
    </row>
    <row r="6" spans="1:6" x14ac:dyDescent="0.25">
      <c r="A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1AUA-ELK-2</v>
      </c>
      <c r="B6" s="2" t="s">
        <v>107</v>
      </c>
      <c r="C6" s="2" t="s">
        <v>113</v>
      </c>
      <c r="D6" s="2">
        <v>4</v>
      </c>
      <c r="E6" s="2" t="s">
        <v>109</v>
      </c>
      <c r="F6" s="2"/>
    </row>
    <row r="7" spans="1:6" x14ac:dyDescent="0.25">
      <c r="A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1AUA-ETV-1</v>
      </c>
      <c r="B7" s="2" t="s">
        <v>107</v>
      </c>
      <c r="C7" s="2" t="s">
        <v>114</v>
      </c>
      <c r="D7" s="2">
        <v>2</v>
      </c>
      <c r="E7" s="2" t="s">
        <v>109</v>
      </c>
      <c r="F7" s="2"/>
    </row>
    <row r="8" spans="1:6" x14ac:dyDescent="0.25">
      <c r="A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1AUA-FYZ-1</v>
      </c>
      <c r="B8" s="2" t="s">
        <v>107</v>
      </c>
      <c r="C8" s="2" t="s">
        <v>115</v>
      </c>
      <c r="D8" s="2">
        <v>2</v>
      </c>
      <c r="E8" s="2" t="s">
        <v>109</v>
      </c>
      <c r="F8" s="2"/>
    </row>
    <row r="9" spans="1:6" x14ac:dyDescent="0.25">
      <c r="A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1AUA-FYZ-2</v>
      </c>
      <c r="B9" s="2" t="s">
        <v>107</v>
      </c>
      <c r="C9" s="2" t="s">
        <v>116</v>
      </c>
      <c r="D9" s="2">
        <v>2</v>
      </c>
      <c r="E9" s="2" t="s">
        <v>109</v>
      </c>
      <c r="F9" s="2"/>
    </row>
    <row r="10" spans="1:6" x14ac:dyDescent="0.25">
      <c r="A1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1AUA-INF-1</v>
      </c>
      <c r="B10" s="2" t="s">
        <v>107</v>
      </c>
      <c r="C10" s="2" t="s">
        <v>117</v>
      </c>
      <c r="D10" s="2">
        <v>2</v>
      </c>
      <c r="E10" s="2" t="s">
        <v>109</v>
      </c>
      <c r="F10" s="2"/>
    </row>
    <row r="11" spans="1:6" x14ac:dyDescent="0.25">
      <c r="A1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1AUA-INF-2</v>
      </c>
      <c r="B11" s="2" t="s">
        <v>107</v>
      </c>
      <c r="C11" s="2" t="s">
        <v>118</v>
      </c>
      <c r="D11" s="2">
        <v>2</v>
      </c>
      <c r="E11" s="2" t="s">
        <v>109</v>
      </c>
      <c r="F11" s="2"/>
    </row>
    <row r="12" spans="1:6" x14ac:dyDescent="0.25">
      <c r="A1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1AUA-MAT-1</v>
      </c>
      <c r="B12" s="2" t="s">
        <v>107</v>
      </c>
      <c r="C12" s="2" t="s">
        <v>119</v>
      </c>
      <c r="D12" s="2">
        <v>4</v>
      </c>
      <c r="E12" s="2" t="s">
        <v>109</v>
      </c>
      <c r="F12" s="2"/>
    </row>
    <row r="13" spans="1:6" x14ac:dyDescent="0.25">
      <c r="A1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1AUA-NBV-1</v>
      </c>
      <c r="B13" s="2" t="s">
        <v>107</v>
      </c>
      <c r="C13" s="2" t="s">
        <v>120</v>
      </c>
      <c r="D13" s="2">
        <v>2</v>
      </c>
      <c r="E13" s="2" t="s">
        <v>109</v>
      </c>
      <c r="F13" s="2"/>
    </row>
    <row r="14" spans="1:6" x14ac:dyDescent="0.25">
      <c r="A1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1AUA-SJL-1</v>
      </c>
      <c r="B14" s="2" t="s">
        <v>107</v>
      </c>
      <c r="C14" s="2" t="s">
        <v>121</v>
      </c>
      <c r="D14" s="2">
        <v>6</v>
      </c>
      <c r="E14" s="2" t="s">
        <v>109</v>
      </c>
      <c r="F14" s="2"/>
    </row>
    <row r="15" spans="1:6" x14ac:dyDescent="0.25">
      <c r="A1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1AUA-STT-1</v>
      </c>
      <c r="B15" s="2" t="s">
        <v>107</v>
      </c>
      <c r="C15" s="2" t="s">
        <v>122</v>
      </c>
      <c r="D15" s="2">
        <v>2</v>
      </c>
      <c r="E15" s="2" t="s">
        <v>109</v>
      </c>
      <c r="F15" s="2"/>
    </row>
    <row r="16" spans="1:6" x14ac:dyDescent="0.25">
      <c r="A1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1AUA-STT-2</v>
      </c>
      <c r="B16" s="2" t="s">
        <v>107</v>
      </c>
      <c r="C16" s="2" t="s">
        <v>123</v>
      </c>
      <c r="D16" s="2">
        <v>2</v>
      </c>
      <c r="E16" s="2" t="s">
        <v>109</v>
      </c>
      <c r="F16" s="2"/>
    </row>
    <row r="17" spans="1:6" x14ac:dyDescent="0.25">
      <c r="A1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1AUA-STR-1</v>
      </c>
      <c r="B17" s="2" t="s">
        <v>107</v>
      </c>
      <c r="C17" s="2" t="s">
        <v>124</v>
      </c>
      <c r="D17" s="2">
        <v>2</v>
      </c>
      <c r="E17" s="2" t="s">
        <v>109</v>
      </c>
      <c r="F17" s="2"/>
    </row>
    <row r="18" spans="1:6" x14ac:dyDescent="0.25">
      <c r="A1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1AUA-STR-2</v>
      </c>
      <c r="B18" s="2" t="s">
        <v>107</v>
      </c>
      <c r="C18" s="2" t="s">
        <v>125</v>
      </c>
      <c r="D18" s="2">
        <v>2</v>
      </c>
      <c r="E18" s="2" t="s">
        <v>109</v>
      </c>
      <c r="F18" s="2"/>
    </row>
    <row r="19" spans="1:6" x14ac:dyDescent="0.25">
      <c r="A1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1AUA-TCK-1</v>
      </c>
      <c r="B19" s="2" t="s">
        <v>107</v>
      </c>
      <c r="C19" s="2" t="s">
        <v>126</v>
      </c>
      <c r="D19" s="2">
        <v>4</v>
      </c>
      <c r="E19" s="2" t="s">
        <v>109</v>
      </c>
      <c r="F19" s="2"/>
    </row>
    <row r="20" spans="1:6" x14ac:dyDescent="0.25">
      <c r="A2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1AUA-TCK-2</v>
      </c>
      <c r="B20" s="2" t="s">
        <v>107</v>
      </c>
      <c r="C20" s="2" t="s">
        <v>127</v>
      </c>
      <c r="D20" s="2">
        <v>4</v>
      </c>
      <c r="E20" s="2" t="s">
        <v>109</v>
      </c>
      <c r="F20" s="2"/>
    </row>
    <row r="21" spans="1:6" x14ac:dyDescent="0.25">
      <c r="A2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1AUA-TSV-1</v>
      </c>
      <c r="B21" s="2" t="s">
        <v>107</v>
      </c>
      <c r="C21" s="2" t="s">
        <v>128</v>
      </c>
      <c r="D21" s="2">
        <v>2</v>
      </c>
      <c r="E21" s="2" t="s">
        <v>109</v>
      </c>
      <c r="F21" s="2"/>
    </row>
    <row r="22" spans="1:6" x14ac:dyDescent="0.25">
      <c r="A2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1AUA-TSV-2</v>
      </c>
      <c r="B22" s="2" t="s">
        <v>107</v>
      </c>
      <c r="C22" s="2" t="s">
        <v>129</v>
      </c>
      <c r="D22" s="2">
        <v>2</v>
      </c>
      <c r="E22" s="2" t="s">
        <v>109</v>
      </c>
      <c r="F22" s="2"/>
    </row>
    <row r="23" spans="1:6" x14ac:dyDescent="0.25">
      <c r="A2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1AUB-ANJ-1</v>
      </c>
      <c r="B23" s="2" t="s">
        <v>130</v>
      </c>
      <c r="C23" s="2" t="s">
        <v>108</v>
      </c>
      <c r="D23" s="2">
        <v>6</v>
      </c>
      <c r="E23" s="2" t="s">
        <v>109</v>
      </c>
      <c r="F23" s="2"/>
    </row>
    <row r="24" spans="1:6" x14ac:dyDescent="0.25">
      <c r="A2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1AUB-ANJ-2</v>
      </c>
      <c r="B24" s="2" t="s">
        <v>130</v>
      </c>
      <c r="C24" s="2" t="s">
        <v>110</v>
      </c>
      <c r="D24" s="2">
        <v>6</v>
      </c>
      <c r="E24" s="2" t="s">
        <v>109</v>
      </c>
      <c r="F24" s="2"/>
    </row>
    <row r="25" spans="1:6" x14ac:dyDescent="0.25">
      <c r="A2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1AUB-DEJ-1</v>
      </c>
      <c r="B25" s="2" t="s">
        <v>130</v>
      </c>
      <c r="C25" s="2" t="s">
        <v>111</v>
      </c>
      <c r="D25" s="2">
        <v>2</v>
      </c>
      <c r="E25" s="2" t="s">
        <v>109</v>
      </c>
      <c r="F25" s="2"/>
    </row>
    <row r="26" spans="1:6" x14ac:dyDescent="0.25">
      <c r="A2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1AUB-ELK-1</v>
      </c>
      <c r="B26" s="2" t="s">
        <v>130</v>
      </c>
      <c r="C26" s="2" t="s">
        <v>112</v>
      </c>
      <c r="D26" s="2">
        <v>4</v>
      </c>
      <c r="E26" s="2" t="s">
        <v>109</v>
      </c>
      <c r="F26" s="2"/>
    </row>
    <row r="27" spans="1:6" x14ac:dyDescent="0.25">
      <c r="A2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1AUB-ELK-2</v>
      </c>
      <c r="B27" s="2" t="s">
        <v>130</v>
      </c>
      <c r="C27" s="2" t="s">
        <v>113</v>
      </c>
      <c r="D27" s="2">
        <v>4</v>
      </c>
      <c r="E27" s="2" t="s">
        <v>109</v>
      </c>
      <c r="F27" s="2"/>
    </row>
    <row r="28" spans="1:6" x14ac:dyDescent="0.25">
      <c r="A2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1AUB-ETV-1</v>
      </c>
      <c r="B28" s="2" t="s">
        <v>130</v>
      </c>
      <c r="C28" s="2" t="s">
        <v>114</v>
      </c>
      <c r="D28" s="2">
        <v>2</v>
      </c>
      <c r="E28" s="2" t="s">
        <v>109</v>
      </c>
      <c r="F28" s="2"/>
    </row>
    <row r="29" spans="1:6" x14ac:dyDescent="0.25">
      <c r="A2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1AUB-FYZ-1</v>
      </c>
      <c r="B29" s="2" t="s">
        <v>130</v>
      </c>
      <c r="C29" s="2" t="s">
        <v>115</v>
      </c>
      <c r="D29" s="2">
        <v>2</v>
      </c>
      <c r="E29" s="2" t="s">
        <v>109</v>
      </c>
      <c r="F29" s="2"/>
    </row>
    <row r="30" spans="1:6" x14ac:dyDescent="0.25">
      <c r="A3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1AUB-FYZ-2</v>
      </c>
      <c r="B30" s="2" t="s">
        <v>130</v>
      </c>
      <c r="C30" s="2" t="s">
        <v>116</v>
      </c>
      <c r="D30" s="2">
        <v>2</v>
      </c>
      <c r="E30" s="2" t="s">
        <v>109</v>
      </c>
      <c r="F30" s="2"/>
    </row>
    <row r="31" spans="1:6" x14ac:dyDescent="0.25">
      <c r="A3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1AUB-INF-1</v>
      </c>
      <c r="B31" s="2" t="s">
        <v>130</v>
      </c>
      <c r="C31" s="2" t="s">
        <v>117</v>
      </c>
      <c r="D31" s="2">
        <v>2</v>
      </c>
      <c r="E31" s="2" t="s">
        <v>109</v>
      </c>
      <c r="F31" s="2"/>
    </row>
    <row r="32" spans="1:6" x14ac:dyDescent="0.25">
      <c r="A3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1AUB-INF-2</v>
      </c>
      <c r="B32" s="2" t="s">
        <v>130</v>
      </c>
      <c r="C32" s="2" t="s">
        <v>118</v>
      </c>
      <c r="D32" s="2">
        <v>2</v>
      </c>
      <c r="E32" s="2" t="s">
        <v>109</v>
      </c>
      <c r="F32" s="2"/>
    </row>
    <row r="33" spans="1:6" x14ac:dyDescent="0.25">
      <c r="A3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1AUB-MAT-1</v>
      </c>
      <c r="B33" s="2" t="s">
        <v>130</v>
      </c>
      <c r="C33" s="2" t="s">
        <v>119</v>
      </c>
      <c r="D33" s="2">
        <v>4</v>
      </c>
      <c r="E33" s="2" t="s">
        <v>109</v>
      </c>
      <c r="F33" s="2"/>
    </row>
    <row r="34" spans="1:6" x14ac:dyDescent="0.25">
      <c r="A3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1AUB-NBV-1</v>
      </c>
      <c r="B34" s="2" t="s">
        <v>130</v>
      </c>
      <c r="C34" s="2" t="s">
        <v>120</v>
      </c>
      <c r="D34" s="2">
        <v>2</v>
      </c>
      <c r="E34" s="2" t="s">
        <v>109</v>
      </c>
      <c r="F34" s="2"/>
    </row>
    <row r="35" spans="1:6" x14ac:dyDescent="0.25">
      <c r="A3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1AUB-SJL-1</v>
      </c>
      <c r="B35" s="2" t="s">
        <v>130</v>
      </c>
      <c r="C35" s="2" t="s">
        <v>121</v>
      </c>
      <c r="D35" s="2">
        <v>6</v>
      </c>
      <c r="E35" s="2" t="s">
        <v>109</v>
      </c>
      <c r="F35" s="2"/>
    </row>
    <row r="36" spans="1:6" x14ac:dyDescent="0.25">
      <c r="A3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1AUB-STT-1</v>
      </c>
      <c r="B36" s="2" t="s">
        <v>130</v>
      </c>
      <c r="C36" s="2" t="s">
        <v>122</v>
      </c>
      <c r="D36" s="2">
        <v>2</v>
      </c>
      <c r="E36" s="2" t="s">
        <v>109</v>
      </c>
      <c r="F36" s="2"/>
    </row>
    <row r="37" spans="1:6" x14ac:dyDescent="0.25">
      <c r="A3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1AUB-STT-2</v>
      </c>
      <c r="B37" s="2" t="s">
        <v>130</v>
      </c>
      <c r="C37" s="2" t="s">
        <v>123</v>
      </c>
      <c r="D37" s="2">
        <v>2</v>
      </c>
      <c r="E37" s="2" t="s">
        <v>109</v>
      </c>
      <c r="F37" s="2"/>
    </row>
    <row r="38" spans="1:6" x14ac:dyDescent="0.25">
      <c r="A3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1AUB-STR-1</v>
      </c>
      <c r="B38" s="2" t="s">
        <v>130</v>
      </c>
      <c r="C38" s="2" t="s">
        <v>124</v>
      </c>
      <c r="D38" s="2">
        <v>2</v>
      </c>
      <c r="E38" s="2" t="s">
        <v>109</v>
      </c>
      <c r="F38" s="2"/>
    </row>
    <row r="39" spans="1:6" x14ac:dyDescent="0.25">
      <c r="A3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1AUB-STR-2</v>
      </c>
      <c r="B39" s="2" t="s">
        <v>130</v>
      </c>
      <c r="C39" s="2" t="s">
        <v>125</v>
      </c>
      <c r="D39" s="2">
        <v>2</v>
      </c>
      <c r="E39" s="2" t="s">
        <v>109</v>
      </c>
      <c r="F39" s="2"/>
    </row>
    <row r="40" spans="1:6" x14ac:dyDescent="0.25">
      <c r="A4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1AUB-TCK-1</v>
      </c>
      <c r="B40" s="2" t="s">
        <v>130</v>
      </c>
      <c r="C40" s="2" t="s">
        <v>126</v>
      </c>
      <c r="D40" s="2">
        <v>4</v>
      </c>
      <c r="E40" s="2" t="s">
        <v>109</v>
      </c>
      <c r="F40" s="2"/>
    </row>
    <row r="41" spans="1:6" x14ac:dyDescent="0.25">
      <c r="A4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1AUB-TCK-2</v>
      </c>
      <c r="B41" s="2" t="s">
        <v>130</v>
      </c>
      <c r="C41" s="2" t="s">
        <v>127</v>
      </c>
      <c r="D41" s="2">
        <v>4</v>
      </c>
      <c r="E41" s="2" t="s">
        <v>109</v>
      </c>
      <c r="F41" s="2"/>
    </row>
    <row r="42" spans="1:6" x14ac:dyDescent="0.25">
      <c r="A4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1AUB-TSV-1</v>
      </c>
      <c r="B42" s="2" t="s">
        <v>130</v>
      </c>
      <c r="C42" s="2" t="s">
        <v>128</v>
      </c>
      <c r="D42" s="2">
        <v>2</v>
      </c>
      <c r="E42" s="2" t="s">
        <v>109</v>
      </c>
      <c r="F42" s="2"/>
    </row>
    <row r="43" spans="1:6" x14ac:dyDescent="0.25">
      <c r="A4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1AUB-TSV-2</v>
      </c>
      <c r="B43" s="2" t="s">
        <v>130</v>
      </c>
      <c r="C43" s="2" t="s">
        <v>129</v>
      </c>
      <c r="D43" s="2">
        <v>2</v>
      </c>
      <c r="E43" s="2" t="s">
        <v>109</v>
      </c>
      <c r="F43" s="2"/>
    </row>
    <row r="44" spans="1:6" x14ac:dyDescent="0.25">
      <c r="A4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1MM-ANJ-1</v>
      </c>
      <c r="B44" s="2" t="s">
        <v>131</v>
      </c>
      <c r="C44" s="2" t="s">
        <v>132</v>
      </c>
      <c r="D44" s="2">
        <v>6</v>
      </c>
      <c r="E44" s="2" t="s">
        <v>109</v>
      </c>
      <c r="F44" s="2"/>
    </row>
    <row r="45" spans="1:6" x14ac:dyDescent="0.25">
      <c r="A4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1MM-ELK-1</v>
      </c>
      <c r="B45" s="2" t="s">
        <v>131</v>
      </c>
      <c r="C45" s="2" t="s">
        <v>112</v>
      </c>
      <c r="D45" s="2">
        <v>4</v>
      </c>
      <c r="E45" s="2" t="s">
        <v>109</v>
      </c>
      <c r="F45" s="2"/>
    </row>
    <row r="46" spans="1:6" x14ac:dyDescent="0.25">
      <c r="A4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1MM-ELK-2</v>
      </c>
      <c r="B46" s="2" t="s">
        <v>131</v>
      </c>
      <c r="C46" s="2" t="s">
        <v>113</v>
      </c>
      <c r="D46" s="2">
        <v>4</v>
      </c>
      <c r="E46" s="2" t="s">
        <v>109</v>
      </c>
      <c r="F46" s="2"/>
    </row>
    <row r="47" spans="1:6" x14ac:dyDescent="0.25">
      <c r="A4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1MM-ETV-1</v>
      </c>
      <c r="B47" s="2" t="s">
        <v>131</v>
      </c>
      <c r="C47" s="2" t="s">
        <v>114</v>
      </c>
      <c r="D47" s="2">
        <v>2</v>
      </c>
      <c r="E47" s="2" t="s">
        <v>109</v>
      </c>
      <c r="F47" s="2"/>
    </row>
    <row r="48" spans="1:6" x14ac:dyDescent="0.25">
      <c r="A4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1MM-FYZ-1</v>
      </c>
      <c r="B48" s="2" t="s">
        <v>131</v>
      </c>
      <c r="C48" s="2" t="s">
        <v>133</v>
      </c>
      <c r="D48" s="2">
        <v>2</v>
      </c>
      <c r="E48" s="2" t="s">
        <v>109</v>
      </c>
      <c r="F48" s="2"/>
    </row>
    <row r="49" spans="1:6" x14ac:dyDescent="0.25">
      <c r="A4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1MM-INF-1</v>
      </c>
      <c r="B49" s="2" t="s">
        <v>131</v>
      </c>
      <c r="C49" s="2" t="s">
        <v>117</v>
      </c>
      <c r="D49" s="2">
        <v>2</v>
      </c>
      <c r="E49" s="2" t="s">
        <v>109</v>
      </c>
      <c r="F49" s="2"/>
    </row>
    <row r="50" spans="1:6" x14ac:dyDescent="0.25">
      <c r="A5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1MM-INF-2</v>
      </c>
      <c r="B50" s="2" t="s">
        <v>131</v>
      </c>
      <c r="C50" s="2" t="s">
        <v>118</v>
      </c>
      <c r="D50" s="2">
        <v>2</v>
      </c>
      <c r="E50" s="2" t="s">
        <v>109</v>
      </c>
      <c r="F50" s="2"/>
    </row>
    <row r="51" spans="1:6" x14ac:dyDescent="0.25">
      <c r="A5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1MM-MAT-1</v>
      </c>
      <c r="B51" s="2" t="s">
        <v>131</v>
      </c>
      <c r="C51" s="2" t="s">
        <v>119</v>
      </c>
      <c r="D51" s="2">
        <v>4</v>
      </c>
      <c r="E51" s="2" t="s">
        <v>109</v>
      </c>
      <c r="F51" s="2"/>
    </row>
    <row r="52" spans="1:6" x14ac:dyDescent="0.25">
      <c r="A5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1MM-MNK-1</v>
      </c>
      <c r="B52" s="2" t="s">
        <v>131</v>
      </c>
      <c r="C52" s="2" t="s">
        <v>134</v>
      </c>
      <c r="D52" s="2">
        <v>4</v>
      </c>
      <c r="E52" s="2" t="s">
        <v>109</v>
      </c>
      <c r="F52" s="2"/>
    </row>
    <row r="53" spans="1:6" x14ac:dyDescent="0.25">
      <c r="A5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1MM-MNK-2</v>
      </c>
      <c r="B53" s="2" t="s">
        <v>131</v>
      </c>
      <c r="C53" s="2" t="s">
        <v>135</v>
      </c>
      <c r="D53" s="2">
        <v>4</v>
      </c>
      <c r="E53" s="2" t="s">
        <v>109</v>
      </c>
      <c r="F53" s="2"/>
    </row>
    <row r="54" spans="1:6" x14ac:dyDescent="0.25">
      <c r="A5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1MM-NBV-1</v>
      </c>
      <c r="B54" s="2" t="s">
        <v>131</v>
      </c>
      <c r="C54" s="2" t="s">
        <v>120</v>
      </c>
      <c r="D54" s="2">
        <v>2</v>
      </c>
      <c r="E54" s="2" t="s">
        <v>109</v>
      </c>
      <c r="F54" s="2"/>
    </row>
    <row r="55" spans="1:6" x14ac:dyDescent="0.25">
      <c r="A5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1MM-SJL-1</v>
      </c>
      <c r="B55" s="2" t="s">
        <v>131</v>
      </c>
      <c r="C55" s="2" t="s">
        <v>121</v>
      </c>
      <c r="D55" s="2">
        <v>6</v>
      </c>
      <c r="E55" s="2" t="s">
        <v>109</v>
      </c>
      <c r="F55" s="2"/>
    </row>
    <row r="56" spans="1:6" x14ac:dyDescent="0.25">
      <c r="A5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1MM-STN-1</v>
      </c>
      <c r="B56" s="2" t="s">
        <v>131</v>
      </c>
      <c r="C56" s="2" t="s">
        <v>136</v>
      </c>
      <c r="D56" s="2">
        <v>4</v>
      </c>
      <c r="E56" s="2" t="s">
        <v>109</v>
      </c>
      <c r="F56" s="2"/>
    </row>
    <row r="57" spans="1:6" x14ac:dyDescent="0.25">
      <c r="A5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1MM-TCK-1</v>
      </c>
      <c r="B57" s="2" t="s">
        <v>131</v>
      </c>
      <c r="C57" s="2" t="s">
        <v>126</v>
      </c>
      <c r="D57" s="2">
        <v>2</v>
      </c>
      <c r="E57" s="2" t="s">
        <v>109</v>
      </c>
      <c r="F57" s="2"/>
    </row>
    <row r="58" spans="1:6" x14ac:dyDescent="0.25">
      <c r="A5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1MM-TCK-2</v>
      </c>
      <c r="B58" s="2" t="s">
        <v>131</v>
      </c>
      <c r="C58" s="2" t="s">
        <v>127</v>
      </c>
      <c r="D58" s="2">
        <v>2</v>
      </c>
      <c r="E58" s="2" t="s">
        <v>109</v>
      </c>
      <c r="F58" s="2"/>
    </row>
    <row r="59" spans="1:6" x14ac:dyDescent="0.25">
      <c r="A5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1MM-TSV-1</v>
      </c>
      <c r="B59" s="2" t="s">
        <v>131</v>
      </c>
      <c r="C59" s="2" t="s">
        <v>137</v>
      </c>
      <c r="D59" s="2">
        <v>2</v>
      </c>
      <c r="E59" s="2" t="s">
        <v>109</v>
      </c>
      <c r="F59" s="2"/>
    </row>
    <row r="60" spans="1:6" x14ac:dyDescent="0.25">
      <c r="A6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1MEAT-ANJ-1</v>
      </c>
      <c r="B60" s="2" t="s">
        <v>138</v>
      </c>
      <c r="C60" s="2" t="s">
        <v>132</v>
      </c>
      <c r="D60" s="2">
        <v>6</v>
      </c>
      <c r="E60" s="2" t="s">
        <v>109</v>
      </c>
      <c r="F60" s="2"/>
    </row>
    <row r="61" spans="1:6" x14ac:dyDescent="0.25">
      <c r="A6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1MEAT-AUT-1</v>
      </c>
      <c r="B61" s="2" t="s">
        <v>138</v>
      </c>
      <c r="C61" s="2" t="s">
        <v>139</v>
      </c>
      <c r="D61" s="2">
        <v>2</v>
      </c>
      <c r="E61" s="2" t="s">
        <v>109</v>
      </c>
      <c r="F61" s="2"/>
    </row>
    <row r="62" spans="1:6" x14ac:dyDescent="0.25">
      <c r="A6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1MEAT-ELR-1</v>
      </c>
      <c r="B62" s="2" t="s">
        <v>138</v>
      </c>
      <c r="C62" s="2" t="s">
        <v>140</v>
      </c>
      <c r="D62" s="2">
        <v>2</v>
      </c>
      <c r="E62" s="2" t="s">
        <v>109</v>
      </c>
      <c r="F62" s="2"/>
    </row>
    <row r="63" spans="1:6" x14ac:dyDescent="0.25">
      <c r="A6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1MEAT-ELK-1</v>
      </c>
      <c r="B63" s="2" t="s">
        <v>138</v>
      </c>
      <c r="C63" s="2" t="s">
        <v>141</v>
      </c>
      <c r="D63" s="2">
        <v>4</v>
      </c>
      <c r="E63" s="2" t="s">
        <v>109</v>
      </c>
      <c r="F63" s="2"/>
    </row>
    <row r="64" spans="1:6" x14ac:dyDescent="0.25">
      <c r="A6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1MEAT-ELG-1</v>
      </c>
      <c r="B64" s="2" t="s">
        <v>138</v>
      </c>
      <c r="C64" s="2" t="s">
        <v>142</v>
      </c>
      <c r="D64" s="2">
        <v>2</v>
      </c>
      <c r="E64" s="2" t="s">
        <v>109</v>
      </c>
      <c r="F64" s="2"/>
    </row>
    <row r="65" spans="1:6" x14ac:dyDescent="0.25">
      <c r="A6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1MEAT-ETV-1</v>
      </c>
      <c r="B65" s="2" t="s">
        <v>138</v>
      </c>
      <c r="C65" s="2" t="s">
        <v>114</v>
      </c>
      <c r="D65" s="2">
        <v>2</v>
      </c>
      <c r="E65" s="2" t="s">
        <v>109</v>
      </c>
      <c r="F65" s="2"/>
    </row>
    <row r="66" spans="1:6" x14ac:dyDescent="0.25">
      <c r="A6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1MEAT-FYZ-1</v>
      </c>
      <c r="B66" s="2" t="s">
        <v>138</v>
      </c>
      <c r="C66" s="2" t="s">
        <v>133</v>
      </c>
      <c r="D66" s="2">
        <v>2</v>
      </c>
      <c r="E66" s="2" t="s">
        <v>109</v>
      </c>
      <c r="F66" s="2"/>
    </row>
    <row r="67" spans="1:6" x14ac:dyDescent="0.25">
      <c r="A6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1MEAT-INF-1</v>
      </c>
      <c r="B67" s="2" t="s">
        <v>138</v>
      </c>
      <c r="C67" s="2" t="s">
        <v>143</v>
      </c>
      <c r="D67" s="2">
        <v>2</v>
      </c>
      <c r="E67" s="2" t="s">
        <v>109</v>
      </c>
      <c r="F67" s="2"/>
    </row>
    <row r="68" spans="1:6" x14ac:dyDescent="0.25">
      <c r="A6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1MEAT-MAT-1</v>
      </c>
      <c r="B68" s="2" t="s">
        <v>138</v>
      </c>
      <c r="C68" s="2" t="s">
        <v>119</v>
      </c>
      <c r="D68" s="2">
        <v>4</v>
      </c>
      <c r="E68" s="2" t="s">
        <v>109</v>
      </c>
      <c r="F68" s="2"/>
    </row>
    <row r="69" spans="1:6" x14ac:dyDescent="0.25">
      <c r="A6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1MEAT-NBV-1</v>
      </c>
      <c r="B69" s="2" t="s">
        <v>138</v>
      </c>
      <c r="C69" s="2" t="s">
        <v>120</v>
      </c>
      <c r="D69" s="2">
        <v>2</v>
      </c>
      <c r="E69" s="2" t="s">
        <v>109</v>
      </c>
      <c r="F69" s="2"/>
    </row>
    <row r="70" spans="1:6" x14ac:dyDescent="0.25">
      <c r="A7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1MEAT-SJL-1</v>
      </c>
      <c r="B70" s="2" t="s">
        <v>138</v>
      </c>
      <c r="C70" s="2" t="s">
        <v>121</v>
      </c>
      <c r="D70" s="2">
        <v>6</v>
      </c>
      <c r="E70" s="2" t="s">
        <v>109</v>
      </c>
      <c r="F70" s="2"/>
    </row>
    <row r="71" spans="1:6" x14ac:dyDescent="0.25">
      <c r="A7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1MEAT-TCK-1</v>
      </c>
      <c r="B71" s="2" t="s">
        <v>138</v>
      </c>
      <c r="C71" s="2" t="s">
        <v>144</v>
      </c>
      <c r="D71" s="2">
        <v>2</v>
      </c>
      <c r="E71" s="2" t="s">
        <v>109</v>
      </c>
      <c r="F71" s="2"/>
    </row>
    <row r="72" spans="1:6" x14ac:dyDescent="0.25">
      <c r="A7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1MEAT-TSV-1</v>
      </c>
      <c r="B72" s="2" t="s">
        <v>138</v>
      </c>
      <c r="C72" s="2" t="s">
        <v>137</v>
      </c>
      <c r="D72" s="2">
        <v>2</v>
      </c>
      <c r="E72" s="2" t="s">
        <v>109</v>
      </c>
      <c r="F72" s="2"/>
    </row>
    <row r="73" spans="1:6" x14ac:dyDescent="0.25">
      <c r="A7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1M-ANJ-1</v>
      </c>
      <c r="B73" s="2" t="s">
        <v>145</v>
      </c>
      <c r="C73" s="2" t="s">
        <v>132</v>
      </c>
      <c r="D73" s="2">
        <v>6</v>
      </c>
      <c r="E73" s="2" t="s">
        <v>109</v>
      </c>
      <c r="F73" s="2"/>
    </row>
    <row r="74" spans="1:6" x14ac:dyDescent="0.25">
      <c r="A7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1M-ETV-1</v>
      </c>
      <c r="B74" s="2" t="s">
        <v>145</v>
      </c>
      <c r="C74" s="2" t="s">
        <v>114</v>
      </c>
      <c r="D74" s="2">
        <v>2</v>
      </c>
      <c r="E74" s="2" t="s">
        <v>109</v>
      </c>
      <c r="F74" s="2"/>
    </row>
    <row r="75" spans="1:6" x14ac:dyDescent="0.25">
      <c r="A7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1M-FYZ-1</v>
      </c>
      <c r="B75" s="2" t="s">
        <v>145</v>
      </c>
      <c r="C75" s="2" t="s">
        <v>133</v>
      </c>
      <c r="D75" s="2">
        <v>2</v>
      </c>
      <c r="E75" s="2" t="s">
        <v>109</v>
      </c>
      <c r="F75" s="2"/>
    </row>
    <row r="76" spans="1:6" x14ac:dyDescent="0.25">
      <c r="A7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1M-MAT-1</v>
      </c>
      <c r="B76" s="2" t="s">
        <v>145</v>
      </c>
      <c r="C76" s="2" t="s">
        <v>119</v>
      </c>
      <c r="D76" s="2">
        <v>4</v>
      </c>
      <c r="E76" s="2" t="s">
        <v>109</v>
      </c>
      <c r="F76" s="2"/>
    </row>
    <row r="77" spans="1:6" x14ac:dyDescent="0.25">
      <c r="A7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1M-NBV-1</v>
      </c>
      <c r="B77" s="2" t="s">
        <v>145</v>
      </c>
      <c r="C77" s="2" t="s">
        <v>120</v>
      </c>
      <c r="D77" s="2">
        <v>2</v>
      </c>
      <c r="E77" s="2" t="s">
        <v>109</v>
      </c>
      <c r="F77" s="2"/>
    </row>
    <row r="78" spans="1:6" x14ac:dyDescent="0.25">
      <c r="A7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1M-SJL-1</v>
      </c>
      <c r="B78" s="2" t="s">
        <v>145</v>
      </c>
      <c r="C78" s="2" t="s">
        <v>121</v>
      </c>
      <c r="D78" s="2">
        <v>6</v>
      </c>
      <c r="E78" s="2" t="s">
        <v>109</v>
      </c>
      <c r="F78" s="2"/>
    </row>
    <row r="79" spans="1:6" x14ac:dyDescent="0.25">
      <c r="A7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1M-TSV-1</v>
      </c>
      <c r="B79" s="2" t="s">
        <v>145</v>
      </c>
      <c r="C79" s="2" t="s">
        <v>128</v>
      </c>
      <c r="D79" s="2">
        <v>2</v>
      </c>
      <c r="E79" s="2" t="s">
        <v>109</v>
      </c>
      <c r="F79" s="2"/>
    </row>
    <row r="80" spans="1:6" x14ac:dyDescent="0.25">
      <c r="A8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1M-TSV-2</v>
      </c>
      <c r="B80" s="2" t="s">
        <v>145</v>
      </c>
      <c r="C80" s="2" t="s">
        <v>129</v>
      </c>
      <c r="D80" s="2">
        <v>2</v>
      </c>
      <c r="E80" s="2" t="s">
        <v>109</v>
      </c>
      <c r="F80" s="2"/>
    </row>
    <row r="81" spans="1:6" x14ac:dyDescent="0.25">
      <c r="A8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1MEOI-ELR-1</v>
      </c>
      <c r="B81" s="2" t="s">
        <v>146</v>
      </c>
      <c r="C81" s="2" t="s">
        <v>140</v>
      </c>
      <c r="D81" s="2">
        <v>2</v>
      </c>
      <c r="E81" s="2" t="s">
        <v>109</v>
      </c>
      <c r="F81" s="2"/>
    </row>
    <row r="82" spans="1:6" x14ac:dyDescent="0.25">
      <c r="A8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1MEOI-ELK-1</v>
      </c>
      <c r="B82" s="2" t="s">
        <v>146</v>
      </c>
      <c r="C82" s="2" t="s">
        <v>141</v>
      </c>
      <c r="D82" s="2">
        <v>4</v>
      </c>
      <c r="E82" s="2" t="s">
        <v>109</v>
      </c>
      <c r="F82" s="2"/>
    </row>
    <row r="83" spans="1:6" x14ac:dyDescent="0.25">
      <c r="A8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1MEOI-ELG-1</v>
      </c>
      <c r="B83" s="2" t="s">
        <v>146</v>
      </c>
      <c r="C83" s="2" t="s">
        <v>142</v>
      </c>
      <c r="D83" s="2">
        <v>2</v>
      </c>
      <c r="E83" s="2" t="s">
        <v>109</v>
      </c>
      <c r="F83" s="2"/>
    </row>
    <row r="84" spans="1:6" x14ac:dyDescent="0.25">
      <c r="A8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1MEOI-INF-1</v>
      </c>
      <c r="B84" s="2" t="s">
        <v>146</v>
      </c>
      <c r="C84" s="2" t="s">
        <v>143</v>
      </c>
      <c r="D84" s="2">
        <v>2</v>
      </c>
      <c r="E84" s="2" t="s">
        <v>109</v>
      </c>
      <c r="F84" s="2"/>
    </row>
    <row r="85" spans="1:6" x14ac:dyDescent="0.25">
      <c r="A8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1MEOI-SIE-1</v>
      </c>
      <c r="B85" s="2" t="s">
        <v>146</v>
      </c>
      <c r="C85" s="2" t="s">
        <v>147</v>
      </c>
      <c r="D85" s="2">
        <v>2</v>
      </c>
      <c r="E85" s="2" t="s">
        <v>109</v>
      </c>
      <c r="F85" s="2"/>
    </row>
    <row r="86" spans="1:6" x14ac:dyDescent="0.25">
      <c r="A8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1MEOI-TCK-1</v>
      </c>
      <c r="B86" s="2" t="s">
        <v>146</v>
      </c>
      <c r="C86" s="2" t="s">
        <v>144</v>
      </c>
      <c r="D86" s="2">
        <v>2</v>
      </c>
      <c r="E86" s="2" t="s">
        <v>109</v>
      </c>
      <c r="F86" s="2"/>
    </row>
    <row r="87" spans="1:6" x14ac:dyDescent="0.25">
      <c r="A8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1MEHVAC/ST-ELR-1</v>
      </c>
      <c r="B87" s="2" t="s">
        <v>148</v>
      </c>
      <c r="C87" s="2" t="s">
        <v>140</v>
      </c>
      <c r="D87" s="2">
        <v>2</v>
      </c>
      <c r="E87" s="2" t="s">
        <v>109</v>
      </c>
      <c r="F87" s="2"/>
    </row>
    <row r="88" spans="1:6" x14ac:dyDescent="0.25">
      <c r="A8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1MEHVAC/ST-ESP-1</v>
      </c>
      <c r="B88" s="2" t="s">
        <v>148</v>
      </c>
      <c r="C88" s="2" t="s">
        <v>149</v>
      </c>
      <c r="D88" s="2">
        <v>2</v>
      </c>
      <c r="E88" s="2" t="s">
        <v>109</v>
      </c>
      <c r="F88" s="2"/>
    </row>
    <row r="89" spans="1:6" x14ac:dyDescent="0.25">
      <c r="A8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1MEHVAC/ST-ELK-1</v>
      </c>
      <c r="B89" s="2" t="s">
        <v>148</v>
      </c>
      <c r="C89" s="2" t="s">
        <v>141</v>
      </c>
      <c r="D89" s="2">
        <v>4</v>
      </c>
      <c r="E89" s="2" t="s">
        <v>109</v>
      </c>
      <c r="F89" s="2"/>
    </row>
    <row r="90" spans="1:6" x14ac:dyDescent="0.25">
      <c r="A9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1MEHVAC/ST-ELG-1</v>
      </c>
      <c r="B90" s="2" t="s">
        <v>148</v>
      </c>
      <c r="C90" s="2" t="s">
        <v>142</v>
      </c>
      <c r="D90" s="2">
        <v>2</v>
      </c>
      <c r="E90" s="2" t="s">
        <v>109</v>
      </c>
      <c r="F90" s="2"/>
    </row>
    <row r="91" spans="1:6" x14ac:dyDescent="0.25">
      <c r="A9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1MEHVAC/ST-INF-1</v>
      </c>
      <c r="B91" s="2" t="s">
        <v>148</v>
      </c>
      <c r="C91" s="2" t="s">
        <v>143</v>
      </c>
      <c r="D91" s="2">
        <v>2</v>
      </c>
      <c r="E91" s="2" t="s">
        <v>109</v>
      </c>
      <c r="F91" s="2"/>
    </row>
    <row r="92" spans="1:6" x14ac:dyDescent="0.25">
      <c r="A9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1MEHVAC/ST-TCK-1</v>
      </c>
      <c r="B92" s="2" t="s">
        <v>148</v>
      </c>
      <c r="C92" s="2" t="s">
        <v>144</v>
      </c>
      <c r="D92" s="2">
        <v>2</v>
      </c>
      <c r="E92" s="2" t="s">
        <v>109</v>
      </c>
      <c r="F92" s="2"/>
    </row>
    <row r="93" spans="1:6" x14ac:dyDescent="0.25">
      <c r="A9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1TLA-ANJ-1</v>
      </c>
      <c r="B93" s="2" t="s">
        <v>150</v>
      </c>
      <c r="C93" s="2" t="s">
        <v>108</v>
      </c>
      <c r="D93" s="2">
        <v>20</v>
      </c>
      <c r="E93" s="2" t="s">
        <v>151</v>
      </c>
      <c r="F93" s="2"/>
    </row>
    <row r="94" spans="1:6" x14ac:dyDescent="0.25">
      <c r="A9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1TLA-ANJ-2</v>
      </c>
      <c r="B94" s="2" t="s">
        <v>150</v>
      </c>
      <c r="C94" s="2" t="s">
        <v>110</v>
      </c>
      <c r="D94" s="2">
        <v>20</v>
      </c>
      <c r="E94" s="2" t="s">
        <v>151</v>
      </c>
      <c r="F94" s="2"/>
    </row>
    <row r="95" spans="1:6" x14ac:dyDescent="0.25">
      <c r="A9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1TLA-DEJ-1</v>
      </c>
      <c r="B95" s="2" t="s">
        <v>150</v>
      </c>
      <c r="C95" s="2" t="s">
        <v>111</v>
      </c>
      <c r="D95" s="2">
        <v>2</v>
      </c>
      <c r="E95" s="2" t="s">
        <v>151</v>
      </c>
      <c r="F95" s="2"/>
    </row>
    <row r="96" spans="1:6" x14ac:dyDescent="0.25">
      <c r="A9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1TLA-ETV-1</v>
      </c>
      <c r="B96" s="2" t="s">
        <v>150</v>
      </c>
      <c r="C96" s="2" t="s">
        <v>114</v>
      </c>
      <c r="D96" s="2">
        <v>2</v>
      </c>
      <c r="E96" s="2" t="s">
        <v>151</v>
      </c>
      <c r="F96" s="2"/>
    </row>
    <row r="97" spans="1:6" x14ac:dyDescent="0.25">
      <c r="A9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1TLA-FYZ-1</v>
      </c>
      <c r="B97" s="2" t="s">
        <v>150</v>
      </c>
      <c r="C97" s="2" t="s">
        <v>133</v>
      </c>
      <c r="D97" s="2">
        <v>4</v>
      </c>
      <c r="E97" s="2" t="s">
        <v>151</v>
      </c>
      <c r="F97" s="2"/>
    </row>
    <row r="98" spans="1:6" x14ac:dyDescent="0.25">
      <c r="A9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1TLA-GAJ-1</v>
      </c>
      <c r="B98" s="2" t="s">
        <v>150</v>
      </c>
      <c r="C98" s="2" t="s">
        <v>152</v>
      </c>
      <c r="D98" s="2">
        <v>8</v>
      </c>
      <c r="E98" s="2" t="s">
        <v>151</v>
      </c>
      <c r="F98" s="2"/>
    </row>
    <row r="99" spans="1:6" x14ac:dyDescent="0.25">
      <c r="A9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1TLA-GAJ-2</v>
      </c>
      <c r="B99" s="2" t="s">
        <v>150</v>
      </c>
      <c r="C99" s="2" t="s">
        <v>153</v>
      </c>
      <c r="D99" s="2">
        <v>8</v>
      </c>
      <c r="E99" s="2" t="s">
        <v>151</v>
      </c>
      <c r="F99" s="2"/>
    </row>
    <row r="100" spans="1:6" x14ac:dyDescent="0.25">
      <c r="A10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1TLA-CHE-1</v>
      </c>
      <c r="B100" s="2" t="s">
        <v>150</v>
      </c>
      <c r="C100" s="2" t="s">
        <v>154</v>
      </c>
      <c r="D100" s="2">
        <v>4</v>
      </c>
      <c r="E100" s="2" t="s">
        <v>151</v>
      </c>
      <c r="F100" s="2"/>
    </row>
    <row r="101" spans="1:6" x14ac:dyDescent="0.25">
      <c r="A10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1TLA-INF-1</v>
      </c>
      <c r="B101" s="2" t="s">
        <v>150</v>
      </c>
      <c r="C101" s="2" t="s">
        <v>117</v>
      </c>
      <c r="D101" s="2">
        <v>4</v>
      </c>
      <c r="E101" s="2" t="s">
        <v>151</v>
      </c>
      <c r="F101" s="2"/>
    </row>
    <row r="102" spans="1:6" x14ac:dyDescent="0.25">
      <c r="A10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1TLA-INF-2</v>
      </c>
      <c r="B102" s="2" t="s">
        <v>150</v>
      </c>
      <c r="C102" s="2" t="s">
        <v>118</v>
      </c>
      <c r="D102" s="2">
        <v>4</v>
      </c>
      <c r="E102" s="2" t="s">
        <v>151</v>
      </c>
      <c r="F102" s="2"/>
    </row>
    <row r="103" spans="1:6" x14ac:dyDescent="0.25">
      <c r="A10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1TLA-KOR-1</v>
      </c>
      <c r="B103" s="2" t="s">
        <v>150</v>
      </c>
      <c r="C103" s="2" t="s">
        <v>155</v>
      </c>
      <c r="D103" s="2">
        <v>8</v>
      </c>
      <c r="E103" s="2" t="s">
        <v>151</v>
      </c>
      <c r="F103" s="2"/>
    </row>
    <row r="104" spans="1:6" x14ac:dyDescent="0.25">
      <c r="A10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1TLA-KOR-2</v>
      </c>
      <c r="B104" s="2" t="s">
        <v>150</v>
      </c>
      <c r="C104" s="2" t="s">
        <v>156</v>
      </c>
      <c r="D104" s="2">
        <v>8</v>
      </c>
      <c r="E104" s="2" t="s">
        <v>151</v>
      </c>
      <c r="F104" s="2"/>
    </row>
    <row r="105" spans="1:6" x14ac:dyDescent="0.25">
      <c r="A10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1TLA-MAT-1</v>
      </c>
      <c r="B105" s="2" t="s">
        <v>150</v>
      </c>
      <c r="C105" s="2" t="s">
        <v>119</v>
      </c>
      <c r="D105" s="2">
        <v>6</v>
      </c>
      <c r="E105" s="2" t="s">
        <v>151</v>
      </c>
      <c r="F105" s="2"/>
    </row>
    <row r="106" spans="1:6" x14ac:dyDescent="0.25">
      <c r="A10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1TLA-NBV-1</v>
      </c>
      <c r="B106" s="2" t="s">
        <v>150</v>
      </c>
      <c r="C106" s="2" t="s">
        <v>120</v>
      </c>
      <c r="D106" s="2">
        <v>2</v>
      </c>
      <c r="E106" s="2" t="s">
        <v>151</v>
      </c>
      <c r="F106" s="2"/>
    </row>
    <row r="107" spans="1:6" x14ac:dyDescent="0.25">
      <c r="A10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1TLA-SJL-1</v>
      </c>
      <c r="B107" s="2" t="s">
        <v>150</v>
      </c>
      <c r="C107" s="2" t="s">
        <v>121</v>
      </c>
      <c r="D107" s="2">
        <v>6</v>
      </c>
      <c r="E107" s="2" t="s">
        <v>151</v>
      </c>
      <c r="F107" s="2"/>
    </row>
    <row r="108" spans="1:6" x14ac:dyDescent="0.25">
      <c r="A10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1TLA-TSV-1</v>
      </c>
      <c r="B108" s="2" t="s">
        <v>150</v>
      </c>
      <c r="C108" s="2" t="s">
        <v>128</v>
      </c>
      <c r="D108" s="2">
        <v>4</v>
      </c>
      <c r="E108" s="2" t="s">
        <v>151</v>
      </c>
      <c r="F108" s="2"/>
    </row>
    <row r="109" spans="1:6" x14ac:dyDescent="0.25">
      <c r="A10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1TLA-TSV-2</v>
      </c>
      <c r="B109" s="2" t="s">
        <v>150</v>
      </c>
      <c r="C109" s="2" t="s">
        <v>129</v>
      </c>
      <c r="D109" s="2">
        <v>4</v>
      </c>
      <c r="E109" s="2" t="s">
        <v>151</v>
      </c>
      <c r="F109" s="2"/>
    </row>
    <row r="110" spans="1:6" x14ac:dyDescent="0.25">
      <c r="A11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1TLB-ANJ-1</v>
      </c>
      <c r="B110" s="2" t="s">
        <v>157</v>
      </c>
      <c r="C110" s="2" t="s">
        <v>108</v>
      </c>
      <c r="D110" s="2">
        <v>20</v>
      </c>
      <c r="E110" s="2" t="s">
        <v>151</v>
      </c>
      <c r="F110" s="2"/>
    </row>
    <row r="111" spans="1:6" x14ac:dyDescent="0.25">
      <c r="A11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1TLB-ANJ-2</v>
      </c>
      <c r="B111" s="2" t="s">
        <v>157</v>
      </c>
      <c r="C111" s="2" t="s">
        <v>110</v>
      </c>
      <c r="D111" s="2">
        <v>20</v>
      </c>
      <c r="E111" s="2" t="s">
        <v>151</v>
      </c>
      <c r="F111" s="2"/>
    </row>
    <row r="112" spans="1:6" x14ac:dyDescent="0.25">
      <c r="A11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1TLB-DEJ-1</v>
      </c>
      <c r="B112" s="2" t="s">
        <v>157</v>
      </c>
      <c r="C112" s="2" t="s">
        <v>111</v>
      </c>
      <c r="D112" s="2">
        <v>2</v>
      </c>
      <c r="E112" s="2" t="s">
        <v>151</v>
      </c>
      <c r="F112" s="2"/>
    </row>
    <row r="113" spans="1:6" x14ac:dyDescent="0.25">
      <c r="A11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1TLB-ETV-1</v>
      </c>
      <c r="B113" s="2" t="s">
        <v>157</v>
      </c>
      <c r="C113" s="2" t="s">
        <v>114</v>
      </c>
      <c r="D113" s="2">
        <v>2</v>
      </c>
      <c r="E113" s="2" t="s">
        <v>151</v>
      </c>
      <c r="F113" s="2"/>
    </row>
    <row r="114" spans="1:6" x14ac:dyDescent="0.25">
      <c r="A11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1TLB-FYZ-1</v>
      </c>
      <c r="B114" s="2" t="s">
        <v>157</v>
      </c>
      <c r="C114" s="2" t="s">
        <v>133</v>
      </c>
      <c r="D114" s="2">
        <v>4</v>
      </c>
      <c r="E114" s="2" t="s">
        <v>151</v>
      </c>
      <c r="F114" s="2"/>
    </row>
    <row r="115" spans="1:6" x14ac:dyDescent="0.25">
      <c r="A11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1TLB-GAJ-1</v>
      </c>
      <c r="B115" s="2" t="s">
        <v>157</v>
      </c>
      <c r="C115" s="2" t="s">
        <v>152</v>
      </c>
      <c r="D115" s="2">
        <v>8</v>
      </c>
      <c r="E115" s="2" t="s">
        <v>151</v>
      </c>
      <c r="F115" s="2"/>
    </row>
    <row r="116" spans="1:6" x14ac:dyDescent="0.25">
      <c r="A11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1TLB-GAJ-2</v>
      </c>
      <c r="B116" s="2" t="s">
        <v>157</v>
      </c>
      <c r="C116" s="2" t="s">
        <v>153</v>
      </c>
      <c r="D116" s="2">
        <v>8</v>
      </c>
      <c r="E116" s="2" t="s">
        <v>151</v>
      </c>
      <c r="F116" s="2"/>
    </row>
    <row r="117" spans="1:6" x14ac:dyDescent="0.25">
      <c r="A11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1TLB-CHE-1</v>
      </c>
      <c r="B117" s="2" t="s">
        <v>157</v>
      </c>
      <c r="C117" s="2" t="s">
        <v>154</v>
      </c>
      <c r="D117" s="2">
        <v>4</v>
      </c>
      <c r="E117" s="2" t="s">
        <v>151</v>
      </c>
      <c r="F117" s="2"/>
    </row>
    <row r="118" spans="1:6" x14ac:dyDescent="0.25">
      <c r="A11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1TLB-INF-1</v>
      </c>
      <c r="B118" s="2" t="s">
        <v>157</v>
      </c>
      <c r="C118" s="2" t="s">
        <v>117</v>
      </c>
      <c r="D118" s="2">
        <v>4</v>
      </c>
      <c r="E118" s="2" t="s">
        <v>151</v>
      </c>
      <c r="F118" s="2"/>
    </row>
    <row r="119" spans="1:6" x14ac:dyDescent="0.25">
      <c r="A11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1TLB-INF-2</v>
      </c>
      <c r="B119" s="2" t="s">
        <v>157</v>
      </c>
      <c r="C119" s="2" t="s">
        <v>118</v>
      </c>
      <c r="D119" s="2">
        <v>4</v>
      </c>
      <c r="E119" s="2" t="s">
        <v>151</v>
      </c>
      <c r="F119" s="2"/>
    </row>
    <row r="120" spans="1:6" x14ac:dyDescent="0.25">
      <c r="A12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1TLB-KOR-1</v>
      </c>
      <c r="B120" s="2" t="s">
        <v>157</v>
      </c>
      <c r="C120" s="2" t="s">
        <v>155</v>
      </c>
      <c r="D120" s="2">
        <v>8</v>
      </c>
      <c r="E120" s="2" t="s">
        <v>151</v>
      </c>
      <c r="F120" s="2"/>
    </row>
    <row r="121" spans="1:6" x14ac:dyDescent="0.25">
      <c r="A12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1TLB-KOR-2</v>
      </c>
      <c r="B121" s="2" t="s">
        <v>157</v>
      </c>
      <c r="C121" s="2" t="s">
        <v>156</v>
      </c>
      <c r="D121" s="2">
        <v>8</v>
      </c>
      <c r="E121" s="2" t="s">
        <v>151</v>
      </c>
      <c r="F121" s="2"/>
    </row>
    <row r="122" spans="1:6" x14ac:dyDescent="0.25">
      <c r="A12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1TLB-MAT-1</v>
      </c>
      <c r="B122" s="2" t="s">
        <v>157</v>
      </c>
      <c r="C122" s="2" t="s">
        <v>119</v>
      </c>
      <c r="D122" s="2">
        <v>6</v>
      </c>
      <c r="E122" s="2" t="s">
        <v>151</v>
      </c>
      <c r="F122" s="2"/>
    </row>
    <row r="123" spans="1:6" x14ac:dyDescent="0.25">
      <c r="A12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1TLB-NBV-1</v>
      </c>
      <c r="B123" s="2" t="s">
        <v>157</v>
      </c>
      <c r="C123" s="2" t="s">
        <v>120</v>
      </c>
      <c r="D123" s="2">
        <v>2</v>
      </c>
      <c r="E123" s="2" t="s">
        <v>151</v>
      </c>
      <c r="F123" s="2"/>
    </row>
    <row r="124" spans="1:6" x14ac:dyDescent="0.25">
      <c r="A12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1TLB-SJL-1</v>
      </c>
      <c r="B124" s="2" t="s">
        <v>157</v>
      </c>
      <c r="C124" s="2" t="s">
        <v>121</v>
      </c>
      <c r="D124" s="2">
        <v>6</v>
      </c>
      <c r="E124" s="2" t="s">
        <v>151</v>
      </c>
      <c r="F124" s="2"/>
    </row>
    <row r="125" spans="1:6" x14ac:dyDescent="0.25">
      <c r="A12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1TLB-TSV-1</v>
      </c>
      <c r="B125" s="2" t="s">
        <v>157</v>
      </c>
      <c r="C125" s="2" t="s">
        <v>128</v>
      </c>
      <c r="D125" s="2">
        <v>4</v>
      </c>
      <c r="E125" s="2" t="s">
        <v>151</v>
      </c>
      <c r="F125" s="2"/>
    </row>
    <row r="126" spans="1:6" x14ac:dyDescent="0.25">
      <c r="A12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1TLB-TSV-2</v>
      </c>
      <c r="B126" s="2" t="s">
        <v>157</v>
      </c>
      <c r="C126" s="2" t="s">
        <v>129</v>
      </c>
      <c r="D126" s="2">
        <v>4</v>
      </c>
      <c r="E126" s="2" t="s">
        <v>151</v>
      </c>
      <c r="F126" s="2"/>
    </row>
    <row r="127" spans="1:6" x14ac:dyDescent="0.25">
      <c r="A12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2AUA-ANJ-1</v>
      </c>
      <c r="B127" s="2" t="s">
        <v>158</v>
      </c>
      <c r="C127" s="2" t="s">
        <v>108</v>
      </c>
      <c r="D127" s="2">
        <v>6</v>
      </c>
      <c r="E127" s="2" t="s">
        <v>159</v>
      </c>
      <c r="F127" s="2"/>
    </row>
    <row r="128" spans="1:6" x14ac:dyDescent="0.25">
      <c r="A12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2AUA-ANJ-2</v>
      </c>
      <c r="B128" s="2" t="s">
        <v>158</v>
      </c>
      <c r="C128" s="2" t="s">
        <v>110</v>
      </c>
      <c r="D128" s="2">
        <v>6</v>
      </c>
      <c r="E128" s="2" t="s">
        <v>159</v>
      </c>
      <c r="F128" s="2"/>
    </row>
    <row r="129" spans="1:6" x14ac:dyDescent="0.25">
      <c r="A12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2AUA-AOO-1</v>
      </c>
      <c r="B129" s="2" t="s">
        <v>158</v>
      </c>
      <c r="C129" s="2" t="s">
        <v>160</v>
      </c>
      <c r="D129" s="2">
        <v>4</v>
      </c>
      <c r="E129" s="2" t="s">
        <v>159</v>
      </c>
      <c r="F129" s="2"/>
    </row>
    <row r="130" spans="1:6" x14ac:dyDescent="0.25">
      <c r="A13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2AUA-AOO-2</v>
      </c>
      <c r="B130" s="2" t="s">
        <v>158</v>
      </c>
      <c r="C130" s="2" t="s">
        <v>161</v>
      </c>
      <c r="D130" s="2">
        <v>4</v>
      </c>
      <c r="E130" s="2" t="s">
        <v>159</v>
      </c>
      <c r="F130" s="2"/>
    </row>
    <row r="131" spans="1:6" x14ac:dyDescent="0.25">
      <c r="A13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2AUA-EMD-1</v>
      </c>
      <c r="B131" s="2" t="s">
        <v>158</v>
      </c>
      <c r="C131" s="2" t="s">
        <v>162</v>
      </c>
      <c r="D131" s="2">
        <v>4</v>
      </c>
      <c r="E131" s="2" t="s">
        <v>159</v>
      </c>
      <c r="F131" s="2"/>
    </row>
    <row r="132" spans="1:6" x14ac:dyDescent="0.25">
      <c r="A13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2AUA-ELE-1</v>
      </c>
      <c r="B132" s="2" t="s">
        <v>158</v>
      </c>
      <c r="C132" s="2" t="s">
        <v>163</v>
      </c>
      <c r="D132" s="2">
        <v>3</v>
      </c>
      <c r="E132" s="2" t="s">
        <v>159</v>
      </c>
      <c r="F132" s="2"/>
    </row>
    <row r="133" spans="1:6" x14ac:dyDescent="0.25">
      <c r="A13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2AUA-ELK-1</v>
      </c>
      <c r="B133" s="2" t="s">
        <v>158</v>
      </c>
      <c r="C133" s="2" t="s">
        <v>112</v>
      </c>
      <c r="D133" s="2">
        <v>2</v>
      </c>
      <c r="E133" s="2" t="s">
        <v>159</v>
      </c>
      <c r="F133" s="2"/>
    </row>
    <row r="134" spans="1:6" x14ac:dyDescent="0.25">
      <c r="A13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2AUA-ELK-2</v>
      </c>
      <c r="B134" s="2" t="s">
        <v>158</v>
      </c>
      <c r="C134" s="2" t="s">
        <v>113</v>
      </c>
      <c r="D134" s="2">
        <v>2</v>
      </c>
      <c r="E134" s="2" t="s">
        <v>159</v>
      </c>
      <c r="F134" s="2"/>
    </row>
    <row r="135" spans="1:6" x14ac:dyDescent="0.25">
      <c r="A13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2AUA-FYZ-1</v>
      </c>
      <c r="B135" s="2" t="s">
        <v>158</v>
      </c>
      <c r="C135" s="2" t="s">
        <v>115</v>
      </c>
      <c r="D135" s="2">
        <v>2</v>
      </c>
      <c r="E135" s="2" t="s">
        <v>159</v>
      </c>
      <c r="F135" s="2"/>
    </row>
    <row r="136" spans="1:6" x14ac:dyDescent="0.25">
      <c r="A13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2AUA-FYZ-2</v>
      </c>
      <c r="B136" s="2" t="s">
        <v>158</v>
      </c>
      <c r="C136" s="2" t="s">
        <v>116</v>
      </c>
      <c r="D136" s="2">
        <v>2</v>
      </c>
      <c r="E136" s="2" t="s">
        <v>159</v>
      </c>
      <c r="F136" s="2"/>
    </row>
    <row r="137" spans="1:6" x14ac:dyDescent="0.25">
      <c r="A13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2AUA-MAT-1</v>
      </c>
      <c r="B137" s="2" t="s">
        <v>158</v>
      </c>
      <c r="C137" s="2" t="s">
        <v>119</v>
      </c>
      <c r="D137" s="2">
        <v>4</v>
      </c>
      <c r="E137" s="2" t="s">
        <v>159</v>
      </c>
      <c r="F137" s="2"/>
    </row>
    <row r="138" spans="1:6" x14ac:dyDescent="0.25">
      <c r="A13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2AUA-OBN-1</v>
      </c>
      <c r="B138" s="2" t="s">
        <v>158</v>
      </c>
      <c r="C138" s="2" t="s">
        <v>164</v>
      </c>
      <c r="D138" s="2">
        <v>2</v>
      </c>
      <c r="E138" s="2" t="s">
        <v>159</v>
      </c>
      <c r="F138" s="2"/>
    </row>
    <row r="139" spans="1:6" x14ac:dyDescent="0.25">
      <c r="A13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2AUA-SJL-1</v>
      </c>
      <c r="B139" s="2" t="s">
        <v>158</v>
      </c>
      <c r="C139" s="2" t="s">
        <v>121</v>
      </c>
      <c r="D139" s="2">
        <v>6</v>
      </c>
      <c r="E139" s="2" t="s">
        <v>159</v>
      </c>
      <c r="F139" s="2"/>
    </row>
    <row r="140" spans="1:6" x14ac:dyDescent="0.25">
      <c r="A14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2AUA-TSV-1</v>
      </c>
      <c r="B140" s="2" t="s">
        <v>158</v>
      </c>
      <c r="C140" s="2" t="s">
        <v>128</v>
      </c>
      <c r="D140" s="2">
        <v>2</v>
      </c>
      <c r="E140" s="2" t="s">
        <v>159</v>
      </c>
      <c r="F140" s="2"/>
    </row>
    <row r="141" spans="1:6" x14ac:dyDescent="0.25">
      <c r="A14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2AUA-TSV-2</v>
      </c>
      <c r="B141" s="2" t="s">
        <v>158</v>
      </c>
      <c r="C141" s="2" t="s">
        <v>129</v>
      </c>
      <c r="D141" s="2">
        <v>2</v>
      </c>
      <c r="E141" s="2" t="s">
        <v>159</v>
      </c>
      <c r="F141" s="2"/>
    </row>
    <row r="142" spans="1:6" x14ac:dyDescent="0.25">
      <c r="A14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2AUB-ANJ-1</v>
      </c>
      <c r="B142" s="2" t="s">
        <v>165</v>
      </c>
      <c r="C142" s="2" t="s">
        <v>108</v>
      </c>
      <c r="D142" s="2">
        <v>6</v>
      </c>
      <c r="E142" s="2" t="s">
        <v>159</v>
      </c>
      <c r="F142" s="2"/>
    </row>
    <row r="143" spans="1:6" x14ac:dyDescent="0.25">
      <c r="A14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2AUB-ANJ-2</v>
      </c>
      <c r="B143" s="2" t="s">
        <v>165</v>
      </c>
      <c r="C143" s="2" t="s">
        <v>110</v>
      </c>
      <c r="D143" s="2">
        <v>6</v>
      </c>
      <c r="E143" s="2" t="s">
        <v>159</v>
      </c>
      <c r="F143" s="2"/>
    </row>
    <row r="144" spans="1:6" x14ac:dyDescent="0.25">
      <c r="A14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2AUB-AOO-1</v>
      </c>
      <c r="B144" s="2" t="s">
        <v>165</v>
      </c>
      <c r="C144" s="2" t="s">
        <v>160</v>
      </c>
      <c r="D144" s="2">
        <v>4</v>
      </c>
      <c r="E144" s="2" t="s">
        <v>159</v>
      </c>
      <c r="F144" s="2"/>
    </row>
    <row r="145" spans="1:6" x14ac:dyDescent="0.25">
      <c r="A14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2AUB-AOO-2</v>
      </c>
      <c r="B145" s="2" t="s">
        <v>165</v>
      </c>
      <c r="C145" s="2" t="s">
        <v>161</v>
      </c>
      <c r="D145" s="2">
        <v>4</v>
      </c>
      <c r="E145" s="2" t="s">
        <v>159</v>
      </c>
      <c r="F145" s="2"/>
    </row>
    <row r="146" spans="1:6" x14ac:dyDescent="0.25">
      <c r="A14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2AUB-EMD-1</v>
      </c>
      <c r="B146" s="2" t="s">
        <v>165</v>
      </c>
      <c r="C146" s="2" t="s">
        <v>162</v>
      </c>
      <c r="D146" s="2">
        <v>4</v>
      </c>
      <c r="E146" s="2" t="s">
        <v>159</v>
      </c>
      <c r="F146" s="2"/>
    </row>
    <row r="147" spans="1:6" x14ac:dyDescent="0.25">
      <c r="A14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2AUB-ELE-1</v>
      </c>
      <c r="B147" s="2" t="s">
        <v>165</v>
      </c>
      <c r="C147" s="2" t="s">
        <v>163</v>
      </c>
      <c r="D147" s="2">
        <v>3</v>
      </c>
      <c r="E147" s="2" t="s">
        <v>159</v>
      </c>
      <c r="F147" s="2"/>
    </row>
    <row r="148" spans="1:6" x14ac:dyDescent="0.25">
      <c r="A14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2AUB-ELK-1</v>
      </c>
      <c r="B148" s="2" t="s">
        <v>165</v>
      </c>
      <c r="C148" s="2" t="s">
        <v>112</v>
      </c>
      <c r="D148" s="2">
        <v>2</v>
      </c>
      <c r="E148" s="2" t="s">
        <v>159</v>
      </c>
      <c r="F148" s="2"/>
    </row>
    <row r="149" spans="1:6" x14ac:dyDescent="0.25">
      <c r="A14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2AUB-ELK-2</v>
      </c>
      <c r="B149" s="2" t="s">
        <v>165</v>
      </c>
      <c r="C149" s="2" t="s">
        <v>113</v>
      </c>
      <c r="D149" s="2">
        <v>2</v>
      </c>
      <c r="E149" s="2" t="s">
        <v>159</v>
      </c>
      <c r="F149" s="2"/>
    </row>
    <row r="150" spans="1:6" x14ac:dyDescent="0.25">
      <c r="A15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2AUB-FYZ-1</v>
      </c>
      <c r="B150" s="2" t="s">
        <v>165</v>
      </c>
      <c r="C150" s="2" t="s">
        <v>115</v>
      </c>
      <c r="D150" s="2">
        <v>2</v>
      </c>
      <c r="E150" s="2" t="s">
        <v>159</v>
      </c>
      <c r="F150" s="2"/>
    </row>
    <row r="151" spans="1:6" x14ac:dyDescent="0.25">
      <c r="A15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2AUB-FYZ-2</v>
      </c>
      <c r="B151" s="2" t="s">
        <v>165</v>
      </c>
      <c r="C151" s="2" t="s">
        <v>116</v>
      </c>
      <c r="D151" s="2">
        <v>2</v>
      </c>
      <c r="E151" s="2" t="s">
        <v>159</v>
      </c>
      <c r="F151" s="2"/>
    </row>
    <row r="152" spans="1:6" x14ac:dyDescent="0.25">
      <c r="A15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2AUB-MAT-1</v>
      </c>
      <c r="B152" s="2" t="s">
        <v>165</v>
      </c>
      <c r="C152" s="2" t="s">
        <v>119</v>
      </c>
      <c r="D152" s="2">
        <v>4</v>
      </c>
      <c r="E152" s="2" t="s">
        <v>159</v>
      </c>
      <c r="F152" s="2"/>
    </row>
    <row r="153" spans="1:6" x14ac:dyDescent="0.25">
      <c r="A15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2AUB-OBN-1</v>
      </c>
      <c r="B153" s="2" t="s">
        <v>165</v>
      </c>
      <c r="C153" s="2" t="s">
        <v>164</v>
      </c>
      <c r="D153" s="2">
        <v>2</v>
      </c>
      <c r="E153" s="2" t="s">
        <v>159</v>
      </c>
      <c r="F153" s="2"/>
    </row>
    <row r="154" spans="1:6" x14ac:dyDescent="0.25">
      <c r="A15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2AUB-SJL-1</v>
      </c>
      <c r="B154" s="2" t="s">
        <v>165</v>
      </c>
      <c r="C154" s="2" t="s">
        <v>121</v>
      </c>
      <c r="D154" s="2">
        <v>6</v>
      </c>
      <c r="E154" s="2" t="s">
        <v>159</v>
      </c>
      <c r="F154" s="2"/>
    </row>
    <row r="155" spans="1:6" x14ac:dyDescent="0.25">
      <c r="A15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2AUB-TSV-1</v>
      </c>
      <c r="B155" s="2" t="s">
        <v>165</v>
      </c>
      <c r="C155" s="2" t="s">
        <v>128</v>
      </c>
      <c r="D155" s="2">
        <v>2</v>
      </c>
      <c r="E155" s="2" t="s">
        <v>159</v>
      </c>
      <c r="F155" s="2"/>
    </row>
    <row r="156" spans="1:6" x14ac:dyDescent="0.25">
      <c r="A15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2AUB-TSV-2</v>
      </c>
      <c r="B156" s="2" t="s">
        <v>165</v>
      </c>
      <c r="C156" s="2" t="s">
        <v>129</v>
      </c>
      <c r="D156" s="2">
        <v>2</v>
      </c>
      <c r="E156" s="2" t="s">
        <v>159</v>
      </c>
      <c r="F156" s="2"/>
    </row>
    <row r="157" spans="1:6" x14ac:dyDescent="0.25">
      <c r="A15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2MM-ANJ-1</v>
      </c>
      <c r="B157" s="2" t="s">
        <v>166</v>
      </c>
      <c r="C157" s="2" t="s">
        <v>132</v>
      </c>
      <c r="D157" s="2">
        <v>6</v>
      </c>
      <c r="E157" s="2" t="s">
        <v>159</v>
      </c>
      <c r="F157" s="2"/>
    </row>
    <row r="158" spans="1:6" x14ac:dyDescent="0.25">
      <c r="A15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2MM-ELE-1</v>
      </c>
      <c r="B158" s="2" t="s">
        <v>166</v>
      </c>
      <c r="C158" s="2" t="s">
        <v>167</v>
      </c>
      <c r="D158" s="2">
        <v>2</v>
      </c>
      <c r="E158" s="2" t="s">
        <v>159</v>
      </c>
      <c r="F158" s="2"/>
    </row>
    <row r="159" spans="1:6" x14ac:dyDescent="0.25">
      <c r="A15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2MM-ELE-2</v>
      </c>
      <c r="B159" s="2" t="s">
        <v>166</v>
      </c>
      <c r="C159" s="2" t="s">
        <v>168</v>
      </c>
      <c r="D159" s="2">
        <v>2</v>
      </c>
      <c r="E159" s="2" t="s">
        <v>159</v>
      </c>
      <c r="F159" s="2"/>
    </row>
    <row r="160" spans="1:6" x14ac:dyDescent="0.25">
      <c r="A16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2MM-ELK-1</v>
      </c>
      <c r="B160" s="2" t="s">
        <v>166</v>
      </c>
      <c r="C160" s="2" t="s">
        <v>112</v>
      </c>
      <c r="D160" s="2">
        <v>2</v>
      </c>
      <c r="E160" s="2" t="s">
        <v>159</v>
      </c>
      <c r="F160" s="2"/>
    </row>
    <row r="161" spans="1:6" x14ac:dyDescent="0.25">
      <c r="A16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2MM-ELK-2</v>
      </c>
      <c r="B161" s="2" t="s">
        <v>166</v>
      </c>
      <c r="C161" s="2" t="s">
        <v>113</v>
      </c>
      <c r="D161" s="2">
        <v>2</v>
      </c>
      <c r="E161" s="2" t="s">
        <v>159</v>
      </c>
      <c r="F161" s="2"/>
    </row>
    <row r="162" spans="1:6" x14ac:dyDescent="0.25">
      <c r="A16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2MM-FYZ-1</v>
      </c>
      <c r="B162" s="2" t="s">
        <v>166</v>
      </c>
      <c r="C162" s="2" t="s">
        <v>133</v>
      </c>
      <c r="D162" s="2">
        <v>2</v>
      </c>
      <c r="E162" s="2" t="s">
        <v>159</v>
      </c>
      <c r="F162" s="2"/>
    </row>
    <row r="163" spans="1:6" x14ac:dyDescent="0.25">
      <c r="A16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2MM-MAT-1</v>
      </c>
      <c r="B163" s="2" t="s">
        <v>166</v>
      </c>
      <c r="C163" s="2" t="s">
        <v>119</v>
      </c>
      <c r="D163" s="2">
        <v>4</v>
      </c>
      <c r="E163" s="2" t="s">
        <v>159</v>
      </c>
      <c r="F163" s="2"/>
    </row>
    <row r="164" spans="1:6" x14ac:dyDescent="0.25">
      <c r="A16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2MM-MNK-1</v>
      </c>
      <c r="B164" s="2" t="s">
        <v>166</v>
      </c>
      <c r="C164" s="2" t="s">
        <v>134</v>
      </c>
      <c r="D164" s="2">
        <v>4</v>
      </c>
      <c r="E164" s="2" t="s">
        <v>159</v>
      </c>
      <c r="F164" s="2"/>
    </row>
    <row r="165" spans="1:6" x14ac:dyDescent="0.25">
      <c r="A16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2MM-MNK-2</v>
      </c>
      <c r="B165" s="2" t="s">
        <v>166</v>
      </c>
      <c r="C165" s="2" t="s">
        <v>135</v>
      </c>
      <c r="D165" s="2">
        <v>4</v>
      </c>
      <c r="E165" s="2" t="s">
        <v>159</v>
      </c>
      <c r="F165" s="2"/>
    </row>
    <row r="166" spans="1:6" x14ac:dyDescent="0.25">
      <c r="A16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2MM-OBN-1</v>
      </c>
      <c r="B166" s="2" t="s">
        <v>166</v>
      </c>
      <c r="C166" s="2" t="s">
        <v>164</v>
      </c>
      <c r="D166" s="2">
        <v>2</v>
      </c>
      <c r="E166" s="2" t="s">
        <v>159</v>
      </c>
      <c r="F166" s="2"/>
    </row>
    <row r="167" spans="1:6" x14ac:dyDescent="0.25">
      <c r="A16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2MM-SJL-1</v>
      </c>
      <c r="B167" s="2" t="s">
        <v>166</v>
      </c>
      <c r="C167" s="2" t="s">
        <v>121</v>
      </c>
      <c r="D167" s="2">
        <v>6</v>
      </c>
      <c r="E167" s="2" t="s">
        <v>159</v>
      </c>
      <c r="F167" s="2"/>
    </row>
    <row r="168" spans="1:6" x14ac:dyDescent="0.25">
      <c r="A16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2MM-STT-1</v>
      </c>
      <c r="B168" s="2" t="s">
        <v>166</v>
      </c>
      <c r="C168" s="2" t="s">
        <v>169</v>
      </c>
      <c r="D168" s="2">
        <v>2</v>
      </c>
      <c r="E168" s="2" t="s">
        <v>159</v>
      </c>
      <c r="F168" s="2"/>
    </row>
    <row r="169" spans="1:6" x14ac:dyDescent="0.25">
      <c r="A16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2MM-TCK-1</v>
      </c>
      <c r="B169" s="2" t="s">
        <v>166</v>
      </c>
      <c r="C169" s="2" t="s">
        <v>144</v>
      </c>
      <c r="D169" s="2">
        <v>3</v>
      </c>
      <c r="E169" s="2" t="s">
        <v>159</v>
      </c>
      <c r="F169" s="2"/>
    </row>
    <row r="170" spans="1:6" x14ac:dyDescent="0.25">
      <c r="A17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2MM-TSV-1</v>
      </c>
      <c r="B170" s="2" t="s">
        <v>166</v>
      </c>
      <c r="C170" s="2" t="s">
        <v>137</v>
      </c>
      <c r="D170" s="2">
        <v>2</v>
      </c>
      <c r="E170" s="2" t="s">
        <v>159</v>
      </c>
      <c r="F170" s="2"/>
    </row>
    <row r="171" spans="1:6" x14ac:dyDescent="0.25">
      <c r="A17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2MEAT-ANJ-1</v>
      </c>
      <c r="B171" s="2" t="s">
        <v>170</v>
      </c>
      <c r="C171" s="2" t="s">
        <v>132</v>
      </c>
      <c r="D171" s="2">
        <v>6</v>
      </c>
      <c r="E171" s="2" t="s">
        <v>159</v>
      </c>
      <c r="F171" s="2"/>
    </row>
    <row r="172" spans="1:6" x14ac:dyDescent="0.25">
      <c r="A17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2MEAT-AUT-1</v>
      </c>
      <c r="B172" s="2" t="s">
        <v>170</v>
      </c>
      <c r="C172" s="2" t="s">
        <v>171</v>
      </c>
      <c r="D172" s="2">
        <v>4</v>
      </c>
      <c r="E172" s="2" t="s">
        <v>159</v>
      </c>
      <c r="F172" s="2"/>
    </row>
    <row r="173" spans="1:6" x14ac:dyDescent="0.25">
      <c r="A17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2MEAT-AUT-2</v>
      </c>
      <c r="B173" s="2" t="s">
        <v>170</v>
      </c>
      <c r="C173" s="2" t="s">
        <v>172</v>
      </c>
      <c r="D173" s="2">
        <v>4</v>
      </c>
      <c r="E173" s="2" t="s">
        <v>159</v>
      </c>
      <c r="F173" s="2"/>
    </row>
    <row r="174" spans="1:6" x14ac:dyDescent="0.25">
      <c r="A17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2MEAT-ELR-1</v>
      </c>
      <c r="B174" s="2" t="s">
        <v>170</v>
      </c>
      <c r="C174" s="2" t="s">
        <v>173</v>
      </c>
      <c r="D174" s="2">
        <v>2</v>
      </c>
      <c r="E174" s="2" t="s">
        <v>159</v>
      </c>
      <c r="F174" s="2"/>
    </row>
    <row r="175" spans="1:6" x14ac:dyDescent="0.25">
      <c r="A17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2MEAT-ELR-2</v>
      </c>
      <c r="B175" s="2" t="s">
        <v>170</v>
      </c>
      <c r="C175" s="2" t="s">
        <v>174</v>
      </c>
      <c r="D175" s="2">
        <v>2</v>
      </c>
      <c r="E175" s="2" t="s">
        <v>159</v>
      </c>
      <c r="F175" s="2"/>
    </row>
    <row r="176" spans="1:6" x14ac:dyDescent="0.25">
      <c r="A17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2MEAT-EZR-1</v>
      </c>
      <c r="B176" s="2" t="s">
        <v>170</v>
      </c>
      <c r="C176" s="2" t="s">
        <v>175</v>
      </c>
      <c r="D176" s="2">
        <v>3</v>
      </c>
      <c r="E176" s="2" t="s">
        <v>159</v>
      </c>
      <c r="F176" s="2"/>
    </row>
    <row r="177" spans="1:6" x14ac:dyDescent="0.25">
      <c r="A17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2MEAT-EZR-2</v>
      </c>
      <c r="B177" s="2" t="s">
        <v>170</v>
      </c>
      <c r="C177" s="2" t="s">
        <v>176</v>
      </c>
      <c r="D177" s="2">
        <v>3</v>
      </c>
      <c r="E177" s="2" t="s">
        <v>159</v>
      </c>
      <c r="F177" s="2"/>
    </row>
    <row r="178" spans="1:6" x14ac:dyDescent="0.25">
      <c r="A17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2MEAT-ELE-1</v>
      </c>
      <c r="B178" s="2" t="s">
        <v>170</v>
      </c>
      <c r="C178" s="2" t="s">
        <v>167</v>
      </c>
      <c r="D178" s="2">
        <v>2</v>
      </c>
      <c r="E178" s="2" t="s">
        <v>159</v>
      </c>
      <c r="F178" s="2"/>
    </row>
    <row r="179" spans="1:6" x14ac:dyDescent="0.25">
      <c r="A17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2MEAT-ELE-2</v>
      </c>
      <c r="B179" s="2" t="s">
        <v>170</v>
      </c>
      <c r="C179" s="2" t="s">
        <v>168</v>
      </c>
      <c r="D179" s="2">
        <v>2</v>
      </c>
      <c r="E179" s="2" t="s">
        <v>159</v>
      </c>
      <c r="F179" s="2"/>
    </row>
    <row r="180" spans="1:6" x14ac:dyDescent="0.25">
      <c r="A18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2MEAT-ELK-1</v>
      </c>
      <c r="B180" s="2" t="s">
        <v>170</v>
      </c>
      <c r="C180" s="2" t="s">
        <v>112</v>
      </c>
      <c r="D180" s="2">
        <v>2</v>
      </c>
      <c r="E180" s="2" t="s">
        <v>159</v>
      </c>
      <c r="F180" s="2"/>
    </row>
    <row r="181" spans="1:6" x14ac:dyDescent="0.25">
      <c r="A18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2MEAT-ELK-2</v>
      </c>
      <c r="B181" s="2" t="s">
        <v>170</v>
      </c>
      <c r="C181" s="2" t="s">
        <v>113</v>
      </c>
      <c r="D181" s="2">
        <v>2</v>
      </c>
      <c r="E181" s="2" t="s">
        <v>159</v>
      </c>
      <c r="F181" s="2"/>
    </row>
    <row r="182" spans="1:6" x14ac:dyDescent="0.25">
      <c r="A18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2MEAT-FYZ-1</v>
      </c>
      <c r="B182" s="2" t="s">
        <v>170</v>
      </c>
      <c r="C182" s="2" t="s">
        <v>133</v>
      </c>
      <c r="D182" s="2">
        <v>2</v>
      </c>
      <c r="E182" s="2" t="s">
        <v>159</v>
      </c>
      <c r="F182" s="2"/>
    </row>
    <row r="183" spans="1:6" x14ac:dyDescent="0.25">
      <c r="A18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2MEAT-MAT-1</v>
      </c>
      <c r="B183" s="2" t="s">
        <v>170</v>
      </c>
      <c r="C183" s="2" t="s">
        <v>119</v>
      </c>
      <c r="D183" s="2">
        <v>4</v>
      </c>
      <c r="E183" s="2" t="s">
        <v>159</v>
      </c>
      <c r="F183" s="2"/>
    </row>
    <row r="184" spans="1:6" x14ac:dyDescent="0.25">
      <c r="A18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2MEAT-OBN-1</v>
      </c>
      <c r="B184" s="2" t="s">
        <v>170</v>
      </c>
      <c r="C184" s="2" t="s">
        <v>164</v>
      </c>
      <c r="D184" s="2">
        <v>2</v>
      </c>
      <c r="E184" s="2" t="s">
        <v>159</v>
      </c>
      <c r="F184" s="2"/>
    </row>
    <row r="185" spans="1:6" x14ac:dyDescent="0.25">
      <c r="A18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2MEAT-SJL-1</v>
      </c>
      <c r="B185" s="2" t="s">
        <v>170</v>
      </c>
      <c r="C185" s="2" t="s">
        <v>121</v>
      </c>
      <c r="D185" s="2">
        <v>6</v>
      </c>
      <c r="E185" s="2" t="s">
        <v>159</v>
      </c>
      <c r="F185" s="2"/>
    </row>
    <row r="186" spans="1:6" x14ac:dyDescent="0.25">
      <c r="A18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2MEAT-TSV-1</v>
      </c>
      <c r="B186" s="2" t="s">
        <v>170</v>
      </c>
      <c r="C186" s="2" t="s">
        <v>137</v>
      </c>
      <c r="D186" s="2">
        <v>2</v>
      </c>
      <c r="E186" s="2" t="s">
        <v>159</v>
      </c>
      <c r="F186" s="2"/>
    </row>
    <row r="187" spans="1:6" x14ac:dyDescent="0.25">
      <c r="A18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2M-ANJ-1</v>
      </c>
      <c r="B187" s="2" t="s">
        <v>177</v>
      </c>
      <c r="C187" s="2" t="s">
        <v>132</v>
      </c>
      <c r="D187" s="2">
        <v>6</v>
      </c>
      <c r="E187" s="2" t="s">
        <v>159</v>
      </c>
      <c r="F187" s="2"/>
    </row>
    <row r="188" spans="1:6" x14ac:dyDescent="0.25">
      <c r="A18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2M-FYZ-1</v>
      </c>
      <c r="B188" s="2" t="s">
        <v>177</v>
      </c>
      <c r="C188" s="2" t="s">
        <v>133</v>
      </c>
      <c r="D188" s="2">
        <v>2</v>
      </c>
      <c r="E188" s="2" t="s">
        <v>159</v>
      </c>
      <c r="F188" s="2"/>
    </row>
    <row r="189" spans="1:6" x14ac:dyDescent="0.25">
      <c r="A18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2M-MAT-1</v>
      </c>
      <c r="B189" s="2" t="s">
        <v>177</v>
      </c>
      <c r="C189" s="2" t="s">
        <v>119</v>
      </c>
      <c r="D189" s="2">
        <v>4</v>
      </c>
      <c r="E189" s="2" t="s">
        <v>159</v>
      </c>
      <c r="F189" s="2"/>
    </row>
    <row r="190" spans="1:6" x14ac:dyDescent="0.25">
      <c r="A19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2M-OBN-1</v>
      </c>
      <c r="B190" s="2" t="s">
        <v>177</v>
      </c>
      <c r="C190" s="2" t="s">
        <v>164</v>
      </c>
      <c r="D190" s="2">
        <v>2</v>
      </c>
      <c r="E190" s="2" t="s">
        <v>159</v>
      </c>
      <c r="F190" s="2"/>
    </row>
    <row r="191" spans="1:6" x14ac:dyDescent="0.25">
      <c r="A19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2M-SJL-1</v>
      </c>
      <c r="B191" s="2" t="s">
        <v>177</v>
      </c>
      <c r="C191" s="2" t="s">
        <v>121</v>
      </c>
      <c r="D191" s="2">
        <v>6</v>
      </c>
      <c r="E191" s="2" t="s">
        <v>159</v>
      </c>
      <c r="F191" s="2"/>
    </row>
    <row r="192" spans="1:6" x14ac:dyDescent="0.25">
      <c r="A19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2M-TSV-1</v>
      </c>
      <c r="B192" s="2" t="s">
        <v>177</v>
      </c>
      <c r="C192" s="2" t="s">
        <v>137</v>
      </c>
      <c r="D192" s="2">
        <v>2</v>
      </c>
      <c r="E192" s="2" t="s">
        <v>159</v>
      </c>
      <c r="F192" s="2"/>
    </row>
    <row r="193" spans="1:6" x14ac:dyDescent="0.25">
      <c r="A19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2MEOI-API-1</v>
      </c>
      <c r="B193" s="2" t="s">
        <v>178</v>
      </c>
      <c r="C193" s="2" t="s">
        <v>179</v>
      </c>
      <c r="D193" s="2">
        <v>6</v>
      </c>
      <c r="E193" s="2" t="s">
        <v>159</v>
      </c>
      <c r="F193" s="2"/>
    </row>
    <row r="194" spans="1:6" x14ac:dyDescent="0.25">
      <c r="A19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2MEOI-AUT-1</v>
      </c>
      <c r="B194" s="2" t="s">
        <v>178</v>
      </c>
      <c r="C194" s="2" t="s">
        <v>139</v>
      </c>
      <c r="D194" s="2">
        <v>2</v>
      </c>
      <c r="E194" s="2" t="s">
        <v>159</v>
      </c>
      <c r="F194" s="2"/>
    </row>
    <row r="195" spans="1:6" x14ac:dyDescent="0.25">
      <c r="A19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2MEOI-ELE-1</v>
      </c>
      <c r="B195" s="2" t="s">
        <v>178</v>
      </c>
      <c r="C195" s="2" t="s">
        <v>163</v>
      </c>
      <c r="D195" s="2">
        <v>3</v>
      </c>
      <c r="E195" s="2" t="s">
        <v>159</v>
      </c>
      <c r="F195" s="2"/>
    </row>
    <row r="196" spans="1:6" x14ac:dyDescent="0.25">
      <c r="A19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2MEOI-OAG-1</v>
      </c>
      <c r="B196" s="2" t="s">
        <v>178</v>
      </c>
      <c r="C196" s="2" t="s">
        <v>180</v>
      </c>
      <c r="D196" s="2">
        <v>2</v>
      </c>
      <c r="E196" s="2" t="s">
        <v>159</v>
      </c>
      <c r="F196" s="2"/>
    </row>
    <row r="197" spans="1:6" x14ac:dyDescent="0.25">
      <c r="A19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2MEHVAC/ST-AUT-1</v>
      </c>
      <c r="B197" s="2" t="s">
        <v>181</v>
      </c>
      <c r="C197" s="2" t="s">
        <v>139</v>
      </c>
      <c r="D197" s="2">
        <v>4</v>
      </c>
      <c r="E197" s="2" t="s">
        <v>159</v>
      </c>
      <c r="F197" s="2"/>
    </row>
    <row r="198" spans="1:6" x14ac:dyDescent="0.25">
      <c r="A19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2MEHVAC/ST-ELR-1</v>
      </c>
      <c r="B198" s="2" t="s">
        <v>181</v>
      </c>
      <c r="C198" s="2" t="s">
        <v>140</v>
      </c>
      <c r="D198" s="2">
        <v>2</v>
      </c>
      <c r="E198" s="2" t="s">
        <v>159</v>
      </c>
      <c r="F198" s="2"/>
    </row>
    <row r="199" spans="1:6" x14ac:dyDescent="0.25">
      <c r="A19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2MEHVAC/ST-EZR-1</v>
      </c>
      <c r="B199" s="2" t="s">
        <v>181</v>
      </c>
      <c r="C199" s="2" t="s">
        <v>182</v>
      </c>
      <c r="D199" s="2">
        <v>3</v>
      </c>
      <c r="E199" s="2" t="s">
        <v>159</v>
      </c>
      <c r="F199" s="2"/>
    </row>
    <row r="200" spans="1:6" x14ac:dyDescent="0.25">
      <c r="A20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2MEHVAC/ST-ELE-1</v>
      </c>
      <c r="B200" s="2" t="s">
        <v>181</v>
      </c>
      <c r="C200" s="2" t="s">
        <v>163</v>
      </c>
      <c r="D200" s="2">
        <v>2</v>
      </c>
      <c r="E200" s="2" t="s">
        <v>159</v>
      </c>
      <c r="F200" s="2"/>
    </row>
    <row r="201" spans="1:6" x14ac:dyDescent="0.25">
      <c r="A20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2MEHVAC/ST-ELK-1</v>
      </c>
      <c r="B201" s="2" t="s">
        <v>181</v>
      </c>
      <c r="C201" s="2" t="s">
        <v>141</v>
      </c>
      <c r="D201" s="2">
        <v>2</v>
      </c>
      <c r="E201" s="2" t="s">
        <v>159</v>
      </c>
      <c r="F201" s="2"/>
    </row>
    <row r="202" spans="1:6" x14ac:dyDescent="0.25">
      <c r="A20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2A-ANJ-1</v>
      </c>
      <c r="B202" s="2" t="s">
        <v>183</v>
      </c>
      <c r="C202" s="2" t="s">
        <v>132</v>
      </c>
      <c r="D202" s="2">
        <v>6</v>
      </c>
      <c r="E202" s="2" t="s">
        <v>159</v>
      </c>
      <c r="F202" s="2"/>
    </row>
    <row r="203" spans="1:6" x14ac:dyDescent="0.25">
      <c r="A20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2A-AUO-1</v>
      </c>
      <c r="B203" s="2" t="s">
        <v>183</v>
      </c>
      <c r="C203" s="2" t="s">
        <v>184</v>
      </c>
      <c r="D203" s="2">
        <v>6</v>
      </c>
      <c r="E203" s="2" t="s">
        <v>159</v>
      </c>
      <c r="F203" s="2"/>
    </row>
    <row r="204" spans="1:6" x14ac:dyDescent="0.25">
      <c r="A20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2A-DOA-1</v>
      </c>
      <c r="B204" s="2" t="s">
        <v>183</v>
      </c>
      <c r="C204" s="2" t="s">
        <v>185</v>
      </c>
      <c r="D204" s="2">
        <v>5</v>
      </c>
      <c r="E204" s="2" t="s">
        <v>159</v>
      </c>
      <c r="F204" s="2"/>
    </row>
    <row r="205" spans="1:6" x14ac:dyDescent="0.25">
      <c r="A20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2A-EKO-1</v>
      </c>
      <c r="B205" s="2" t="s">
        <v>183</v>
      </c>
      <c r="C205" s="2" t="s">
        <v>186</v>
      </c>
      <c r="D205" s="2">
        <v>4</v>
      </c>
      <c r="E205" s="2" t="s">
        <v>159</v>
      </c>
      <c r="F205" s="2"/>
    </row>
    <row r="206" spans="1:6" x14ac:dyDescent="0.25">
      <c r="A20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2A-ELK-1</v>
      </c>
      <c r="B206" s="2" t="s">
        <v>183</v>
      </c>
      <c r="C206" s="2" t="s">
        <v>141</v>
      </c>
      <c r="D206" s="2">
        <v>4</v>
      </c>
      <c r="E206" s="2" t="s">
        <v>159</v>
      </c>
      <c r="F206" s="2"/>
    </row>
    <row r="207" spans="1:6" x14ac:dyDescent="0.25">
      <c r="A20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2A-INF-1</v>
      </c>
      <c r="B207" s="2" t="s">
        <v>183</v>
      </c>
      <c r="C207" s="2" t="s">
        <v>143</v>
      </c>
      <c r="D207" s="2">
        <v>2</v>
      </c>
      <c r="E207" s="2" t="s">
        <v>159</v>
      </c>
      <c r="F207" s="2"/>
    </row>
    <row r="208" spans="1:6" x14ac:dyDescent="0.25">
      <c r="A20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2A-MAT-1</v>
      </c>
      <c r="B208" s="2" t="s">
        <v>183</v>
      </c>
      <c r="C208" s="2" t="s">
        <v>119</v>
      </c>
      <c r="D208" s="2">
        <v>2</v>
      </c>
      <c r="E208" s="2" t="s">
        <v>159</v>
      </c>
      <c r="F208" s="2"/>
    </row>
    <row r="209" spans="1:6" x14ac:dyDescent="0.25">
      <c r="A20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2A-SJL-1</v>
      </c>
      <c r="B209" s="2" t="s">
        <v>183</v>
      </c>
      <c r="C209" s="2" t="s">
        <v>121</v>
      </c>
      <c r="D209" s="2">
        <v>2</v>
      </c>
      <c r="E209" s="2" t="s">
        <v>159</v>
      </c>
      <c r="F209" s="2"/>
    </row>
    <row r="210" spans="1:6" x14ac:dyDescent="0.25">
      <c r="A21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2A-TCK-1</v>
      </c>
      <c r="B210" s="2" t="s">
        <v>183</v>
      </c>
      <c r="C210" s="2" t="s">
        <v>144</v>
      </c>
      <c r="D210" s="2">
        <v>2</v>
      </c>
      <c r="E210" s="2" t="s">
        <v>159</v>
      </c>
      <c r="F210" s="2"/>
    </row>
    <row r="211" spans="1:6" x14ac:dyDescent="0.25">
      <c r="A21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2A-TSV-1</v>
      </c>
      <c r="B211" s="2" t="s">
        <v>183</v>
      </c>
      <c r="C211" s="2" t="s">
        <v>137</v>
      </c>
      <c r="D211" s="2">
        <v>3</v>
      </c>
      <c r="E211" s="2" t="s">
        <v>159</v>
      </c>
      <c r="F211" s="2"/>
    </row>
    <row r="212" spans="1:6" x14ac:dyDescent="0.25">
      <c r="A21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2TL-ANJ-1</v>
      </c>
      <c r="B212" s="2" t="s">
        <v>187</v>
      </c>
      <c r="C212" s="2" t="s">
        <v>108</v>
      </c>
      <c r="D212" s="2">
        <v>8</v>
      </c>
      <c r="E212" s="2" t="s">
        <v>151</v>
      </c>
      <c r="F212" s="2"/>
    </row>
    <row r="213" spans="1:6" x14ac:dyDescent="0.25">
      <c r="A21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2TL-ANJ-2</v>
      </c>
      <c r="B213" s="2" t="s">
        <v>187</v>
      </c>
      <c r="C213" s="2" t="s">
        <v>110</v>
      </c>
      <c r="D213" s="2">
        <v>8</v>
      </c>
      <c r="E213" s="2" t="s">
        <v>151</v>
      </c>
      <c r="F213" s="2"/>
    </row>
    <row r="214" spans="1:6" x14ac:dyDescent="0.25">
      <c r="A21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2TL-AEC-1</v>
      </c>
      <c r="B214" s="2" t="s">
        <v>187</v>
      </c>
      <c r="C214" s="2" t="s">
        <v>188</v>
      </c>
      <c r="D214" s="2">
        <v>4</v>
      </c>
      <c r="E214" s="2" t="s">
        <v>151</v>
      </c>
      <c r="F214" s="2"/>
    </row>
    <row r="215" spans="1:6" x14ac:dyDescent="0.25">
      <c r="A21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2TL-DEJ-1</v>
      </c>
      <c r="B215" s="2" t="s">
        <v>187</v>
      </c>
      <c r="C215" s="2" t="s">
        <v>111</v>
      </c>
      <c r="D215" s="2">
        <v>2</v>
      </c>
      <c r="E215" s="2" t="s">
        <v>151</v>
      </c>
      <c r="F215" s="2"/>
    </row>
    <row r="216" spans="1:6" x14ac:dyDescent="0.25">
      <c r="A21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2TL-EZZ-1</v>
      </c>
      <c r="B216" s="2" t="s">
        <v>187</v>
      </c>
      <c r="C216" s="2" t="s">
        <v>189</v>
      </c>
      <c r="D216" s="2">
        <v>4</v>
      </c>
      <c r="E216" s="2" t="s">
        <v>151</v>
      </c>
      <c r="F216" s="2"/>
    </row>
    <row r="217" spans="1:6" x14ac:dyDescent="0.25">
      <c r="A21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2TL-ETE-1</v>
      </c>
      <c r="B217" s="2" t="s">
        <v>187</v>
      </c>
      <c r="C217" s="2" t="s">
        <v>190</v>
      </c>
      <c r="D217" s="2">
        <v>2</v>
      </c>
      <c r="E217" s="2" t="s">
        <v>151</v>
      </c>
      <c r="F217" s="2"/>
    </row>
    <row r="218" spans="1:6" x14ac:dyDescent="0.25">
      <c r="A21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2TL-ETV-1</v>
      </c>
      <c r="B218" s="2" t="s">
        <v>187</v>
      </c>
      <c r="C218" s="2" t="s">
        <v>114</v>
      </c>
      <c r="D218" s="2">
        <v>2</v>
      </c>
      <c r="E218" s="2" t="s">
        <v>151</v>
      </c>
      <c r="F218" s="2"/>
    </row>
    <row r="219" spans="1:6" x14ac:dyDescent="0.25">
      <c r="A21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2TL-GRS-1</v>
      </c>
      <c r="B219" s="2" t="s">
        <v>187</v>
      </c>
      <c r="C219" s="2" t="s">
        <v>191</v>
      </c>
      <c r="D219" s="2">
        <v>4</v>
      </c>
      <c r="E219" s="2" t="s">
        <v>151</v>
      </c>
      <c r="F219" s="2"/>
    </row>
    <row r="220" spans="1:6" x14ac:dyDescent="0.25">
      <c r="A22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2TL-GRS-2</v>
      </c>
      <c r="B220" s="2" t="s">
        <v>187</v>
      </c>
      <c r="C220" s="2" t="s">
        <v>192</v>
      </c>
      <c r="D220" s="2">
        <v>4</v>
      </c>
      <c r="E220" s="2" t="s">
        <v>151</v>
      </c>
      <c r="F220" s="2"/>
    </row>
    <row r="221" spans="1:6" x14ac:dyDescent="0.25">
      <c r="A22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2TL-INF-1</v>
      </c>
      <c r="B221" s="2" t="s">
        <v>187</v>
      </c>
      <c r="C221" s="2" t="s">
        <v>117</v>
      </c>
      <c r="D221" s="2">
        <v>2</v>
      </c>
      <c r="E221" s="2" t="s">
        <v>151</v>
      </c>
      <c r="F221" s="2"/>
    </row>
    <row r="222" spans="1:6" x14ac:dyDescent="0.25">
      <c r="A22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2TL-INF-2</v>
      </c>
      <c r="B222" s="2" t="s">
        <v>187</v>
      </c>
      <c r="C222" s="2" t="s">
        <v>118</v>
      </c>
      <c r="D222" s="2">
        <v>2</v>
      </c>
      <c r="E222" s="2" t="s">
        <v>151</v>
      </c>
      <c r="F222" s="2"/>
    </row>
    <row r="223" spans="1:6" x14ac:dyDescent="0.25">
      <c r="A22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2TL-MAT-1</v>
      </c>
      <c r="B223" s="2" t="s">
        <v>187</v>
      </c>
      <c r="C223" s="2" t="s">
        <v>119</v>
      </c>
      <c r="D223" s="2">
        <v>6</v>
      </c>
      <c r="E223" s="2" t="s">
        <v>151</v>
      </c>
      <c r="F223" s="2"/>
    </row>
    <row r="224" spans="1:6" x14ac:dyDescent="0.25">
      <c r="A22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2TL-NBV-1</v>
      </c>
      <c r="B224" s="2" t="s">
        <v>187</v>
      </c>
      <c r="C224" s="2" t="s">
        <v>120</v>
      </c>
      <c r="D224" s="2">
        <v>2</v>
      </c>
      <c r="E224" s="2" t="s">
        <v>151</v>
      </c>
      <c r="F224" s="2"/>
    </row>
    <row r="225" spans="1:6" x14ac:dyDescent="0.25">
      <c r="A22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2TL-NEJ-1</v>
      </c>
      <c r="B225" s="2" t="s">
        <v>187</v>
      </c>
      <c r="C225" s="2" t="s">
        <v>193</v>
      </c>
      <c r="D225" s="2">
        <v>6</v>
      </c>
      <c r="E225" s="2" t="s">
        <v>151</v>
      </c>
      <c r="F225" s="2"/>
    </row>
    <row r="226" spans="1:6" x14ac:dyDescent="0.25">
      <c r="A22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2TL-NEJ-2</v>
      </c>
      <c r="B226" s="2" t="s">
        <v>187</v>
      </c>
      <c r="C226" s="2" t="s">
        <v>194</v>
      </c>
      <c r="D226" s="2">
        <v>6</v>
      </c>
      <c r="E226" s="2" t="s">
        <v>151</v>
      </c>
      <c r="F226" s="2"/>
    </row>
    <row r="227" spans="1:6" x14ac:dyDescent="0.25">
      <c r="A22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2TL-OBN-1</v>
      </c>
      <c r="B227" s="2" t="s">
        <v>187</v>
      </c>
      <c r="C227" s="2" t="s">
        <v>164</v>
      </c>
      <c r="D227" s="2">
        <v>2</v>
      </c>
      <c r="E227" s="2" t="s">
        <v>151</v>
      </c>
      <c r="F227" s="2"/>
    </row>
    <row r="228" spans="1:6" x14ac:dyDescent="0.25">
      <c r="A22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2TL-PRX-1</v>
      </c>
      <c r="B228" s="2" t="s">
        <v>187</v>
      </c>
      <c r="C228" s="2" t="s">
        <v>195</v>
      </c>
      <c r="D228" s="2">
        <v>12</v>
      </c>
      <c r="E228" s="2" t="s">
        <v>151</v>
      </c>
      <c r="F228" s="2"/>
    </row>
    <row r="229" spans="1:6" x14ac:dyDescent="0.25">
      <c r="A22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2TL-RPJ-1</v>
      </c>
      <c r="B229" s="2" t="s">
        <v>187</v>
      </c>
      <c r="C229" s="2" t="s">
        <v>196</v>
      </c>
      <c r="D229" s="2">
        <v>2</v>
      </c>
      <c r="E229" s="2" t="s">
        <v>151</v>
      </c>
      <c r="F229" s="2"/>
    </row>
    <row r="230" spans="1:6" x14ac:dyDescent="0.25">
      <c r="A23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2TL-RPJ-2</v>
      </c>
      <c r="B230" s="2" t="s">
        <v>187</v>
      </c>
      <c r="C230" s="2" t="s">
        <v>197</v>
      </c>
      <c r="D230" s="2">
        <v>2</v>
      </c>
      <c r="E230" s="2" t="s">
        <v>151</v>
      </c>
      <c r="F230" s="2"/>
    </row>
    <row r="231" spans="1:6" x14ac:dyDescent="0.25">
      <c r="A23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2TL-SJL-1</v>
      </c>
      <c r="B231" s="2" t="s">
        <v>187</v>
      </c>
      <c r="C231" s="2" t="s">
        <v>121</v>
      </c>
      <c r="D231" s="2">
        <v>6</v>
      </c>
      <c r="E231" s="2" t="s">
        <v>151</v>
      </c>
      <c r="F231" s="2"/>
    </row>
    <row r="232" spans="1:6" x14ac:dyDescent="0.25">
      <c r="A23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2TL-TSV-1</v>
      </c>
      <c r="B232" s="2" t="s">
        <v>187</v>
      </c>
      <c r="C232" s="2" t="s">
        <v>128</v>
      </c>
      <c r="D232" s="2">
        <v>4</v>
      </c>
      <c r="E232" s="2" t="s">
        <v>151</v>
      </c>
      <c r="F232" s="2"/>
    </row>
    <row r="233" spans="1:6" x14ac:dyDescent="0.25">
      <c r="A23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2TL-TSV-2</v>
      </c>
      <c r="B233" s="2" t="s">
        <v>187</v>
      </c>
      <c r="C233" s="2" t="s">
        <v>129</v>
      </c>
      <c r="D233" s="2">
        <v>4</v>
      </c>
      <c r="E233" s="2" t="s">
        <v>151</v>
      </c>
      <c r="F233" s="2"/>
    </row>
    <row r="234" spans="1:6" x14ac:dyDescent="0.25">
      <c r="A23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3AUA-ANJ-1</v>
      </c>
      <c r="B234" s="2" t="s">
        <v>198</v>
      </c>
      <c r="C234" s="2" t="s">
        <v>132</v>
      </c>
      <c r="D234" s="2">
        <v>6</v>
      </c>
      <c r="E234" s="2" t="s">
        <v>109</v>
      </c>
      <c r="F234" s="2"/>
    </row>
    <row r="235" spans="1:6" x14ac:dyDescent="0.25">
      <c r="A23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3AUA-AOO-1</v>
      </c>
      <c r="B235" s="2" t="s">
        <v>198</v>
      </c>
      <c r="C235" s="2" t="s">
        <v>160</v>
      </c>
      <c r="D235" s="2">
        <v>5</v>
      </c>
      <c r="E235" s="2" t="s">
        <v>109</v>
      </c>
      <c r="F235" s="2"/>
    </row>
    <row r="236" spans="1:6" x14ac:dyDescent="0.25">
      <c r="A23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3AUA-AOO-2</v>
      </c>
      <c r="B236" s="2" t="s">
        <v>198</v>
      </c>
      <c r="C236" s="2" t="s">
        <v>161</v>
      </c>
      <c r="D236" s="2">
        <v>5</v>
      </c>
      <c r="E236" s="2" t="s">
        <v>109</v>
      </c>
      <c r="F236" s="2"/>
    </row>
    <row r="237" spans="1:6" x14ac:dyDescent="0.25">
      <c r="A23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3AUA-EMD-1</v>
      </c>
      <c r="B237" s="2" t="s">
        <v>198</v>
      </c>
      <c r="C237" s="2" t="s">
        <v>199</v>
      </c>
      <c r="D237" s="2">
        <v>5</v>
      </c>
      <c r="E237" s="2" t="s">
        <v>109</v>
      </c>
      <c r="F237" s="2"/>
    </row>
    <row r="238" spans="1:6" x14ac:dyDescent="0.25">
      <c r="A23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3AUA-EMD-2</v>
      </c>
      <c r="B238" s="2" t="s">
        <v>198</v>
      </c>
      <c r="C238" s="2" t="s">
        <v>200</v>
      </c>
      <c r="D238" s="2">
        <v>5</v>
      </c>
      <c r="E238" s="2" t="s">
        <v>109</v>
      </c>
      <c r="F238" s="2"/>
    </row>
    <row r="239" spans="1:6" x14ac:dyDescent="0.25">
      <c r="A23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3AUA-FYZ-1</v>
      </c>
      <c r="B239" s="2" t="s">
        <v>198</v>
      </c>
      <c r="C239" s="2" t="s">
        <v>133</v>
      </c>
      <c r="D239" s="2">
        <v>2</v>
      </c>
      <c r="E239" s="2" t="s">
        <v>109</v>
      </c>
      <c r="F239" s="2"/>
    </row>
    <row r="240" spans="1:6" x14ac:dyDescent="0.25">
      <c r="A24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3AUA-MAT-1</v>
      </c>
      <c r="B240" s="2" t="s">
        <v>198</v>
      </c>
      <c r="C240" s="2" t="s">
        <v>119</v>
      </c>
      <c r="D240" s="2">
        <v>4</v>
      </c>
      <c r="E240" s="2" t="s">
        <v>109</v>
      </c>
      <c r="F240" s="2"/>
    </row>
    <row r="241" spans="1:6" x14ac:dyDescent="0.25">
      <c r="A24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3AUA-OBN-1</v>
      </c>
      <c r="B241" s="2" t="s">
        <v>198</v>
      </c>
      <c r="C241" s="2" t="s">
        <v>164</v>
      </c>
      <c r="D241" s="2">
        <v>2</v>
      </c>
      <c r="E241" s="2" t="s">
        <v>109</v>
      </c>
      <c r="F241" s="2"/>
    </row>
    <row r="242" spans="1:6" x14ac:dyDescent="0.25">
      <c r="A24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3AUA-PDQ-1</v>
      </c>
      <c r="B242" s="2" t="s">
        <v>198</v>
      </c>
      <c r="C242" s="2" t="s">
        <v>201</v>
      </c>
      <c r="D242" s="2">
        <v>3</v>
      </c>
      <c r="E242" s="2" t="s">
        <v>109</v>
      </c>
      <c r="F242" s="2"/>
    </row>
    <row r="243" spans="1:6" x14ac:dyDescent="0.25">
      <c r="A24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3AUA-SJL-1</v>
      </c>
      <c r="B243" s="2" t="s">
        <v>198</v>
      </c>
      <c r="C243" s="2" t="s">
        <v>121</v>
      </c>
      <c r="D243" s="2">
        <v>6</v>
      </c>
      <c r="E243" s="2" t="s">
        <v>109</v>
      </c>
      <c r="F243" s="2"/>
    </row>
    <row r="244" spans="1:6" x14ac:dyDescent="0.25">
      <c r="A24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3AUA-TSV-1</v>
      </c>
      <c r="B244" s="2" t="s">
        <v>198</v>
      </c>
      <c r="C244" s="2" t="s">
        <v>137</v>
      </c>
      <c r="D244" s="2">
        <v>2</v>
      </c>
      <c r="E244" s="2" t="s">
        <v>109</v>
      </c>
      <c r="F244" s="2"/>
    </row>
    <row r="245" spans="1:6" x14ac:dyDescent="0.25">
      <c r="A24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3AUB-ANJ-1</v>
      </c>
      <c r="B245" s="2" t="s">
        <v>202</v>
      </c>
      <c r="C245" s="2" t="s">
        <v>132</v>
      </c>
      <c r="D245" s="2">
        <v>6</v>
      </c>
      <c r="E245" s="2" t="s">
        <v>109</v>
      </c>
      <c r="F245" s="2"/>
    </row>
    <row r="246" spans="1:6" x14ac:dyDescent="0.25">
      <c r="A24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3AUB-AOO-1</v>
      </c>
      <c r="B246" s="2" t="s">
        <v>202</v>
      </c>
      <c r="C246" s="2" t="s">
        <v>160</v>
      </c>
      <c r="D246" s="2">
        <v>5</v>
      </c>
      <c r="E246" s="2" t="s">
        <v>109</v>
      </c>
      <c r="F246" s="2"/>
    </row>
    <row r="247" spans="1:6" x14ac:dyDescent="0.25">
      <c r="A24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3AUB-AOO-2</v>
      </c>
      <c r="B247" s="2" t="s">
        <v>202</v>
      </c>
      <c r="C247" s="2" t="s">
        <v>161</v>
      </c>
      <c r="D247" s="2">
        <v>5</v>
      </c>
      <c r="E247" s="2" t="s">
        <v>109</v>
      </c>
      <c r="F247" s="2"/>
    </row>
    <row r="248" spans="1:6" x14ac:dyDescent="0.25">
      <c r="A24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3AUB-EMD-1</v>
      </c>
      <c r="B248" s="2" t="s">
        <v>202</v>
      </c>
      <c r="C248" s="2" t="s">
        <v>199</v>
      </c>
      <c r="D248" s="2">
        <v>5</v>
      </c>
      <c r="E248" s="2" t="s">
        <v>109</v>
      </c>
      <c r="F248" s="2"/>
    </row>
    <row r="249" spans="1:6" x14ac:dyDescent="0.25">
      <c r="A24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3AUB-EMD-2</v>
      </c>
      <c r="B249" s="2" t="s">
        <v>202</v>
      </c>
      <c r="C249" s="2" t="s">
        <v>200</v>
      </c>
      <c r="D249" s="2">
        <v>5</v>
      </c>
      <c r="E249" s="2" t="s">
        <v>109</v>
      </c>
      <c r="F249" s="2"/>
    </row>
    <row r="250" spans="1:6" x14ac:dyDescent="0.25">
      <c r="A25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3AUB-FYZ-1</v>
      </c>
      <c r="B250" s="2" t="s">
        <v>202</v>
      </c>
      <c r="C250" s="2" t="s">
        <v>133</v>
      </c>
      <c r="D250" s="2">
        <v>2</v>
      </c>
      <c r="E250" s="2" t="s">
        <v>109</v>
      </c>
      <c r="F250" s="2"/>
    </row>
    <row r="251" spans="1:6" x14ac:dyDescent="0.25">
      <c r="A25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3AUB-MAT-1</v>
      </c>
      <c r="B251" s="2" t="s">
        <v>202</v>
      </c>
      <c r="C251" s="2" t="s">
        <v>119</v>
      </c>
      <c r="D251" s="2">
        <v>4</v>
      </c>
      <c r="E251" s="2" t="s">
        <v>109</v>
      </c>
      <c r="F251" s="2"/>
    </row>
    <row r="252" spans="1:6" x14ac:dyDescent="0.25">
      <c r="A25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3AUB-OBN-1</v>
      </c>
      <c r="B252" s="2" t="s">
        <v>202</v>
      </c>
      <c r="C252" s="2" t="s">
        <v>164</v>
      </c>
      <c r="D252" s="2">
        <v>2</v>
      </c>
      <c r="E252" s="2" t="s">
        <v>109</v>
      </c>
      <c r="F252" s="2"/>
    </row>
    <row r="253" spans="1:6" x14ac:dyDescent="0.25">
      <c r="A25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3AUB-PDQ-1</v>
      </c>
      <c r="B253" s="2" t="s">
        <v>202</v>
      </c>
      <c r="C253" s="2" t="s">
        <v>201</v>
      </c>
      <c r="D253" s="2">
        <v>3</v>
      </c>
      <c r="E253" s="2" t="s">
        <v>109</v>
      </c>
      <c r="F253" s="2"/>
    </row>
    <row r="254" spans="1:6" x14ac:dyDescent="0.25">
      <c r="A25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3AUB-SJL-1</v>
      </c>
      <c r="B254" s="2" t="s">
        <v>202</v>
      </c>
      <c r="C254" s="2" t="s">
        <v>121</v>
      </c>
      <c r="D254" s="2">
        <v>6</v>
      </c>
      <c r="E254" s="2" t="s">
        <v>109</v>
      </c>
      <c r="F254" s="2"/>
    </row>
    <row r="255" spans="1:6" x14ac:dyDescent="0.25">
      <c r="A25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3AUB-TSV-1</v>
      </c>
      <c r="B255" s="2" t="s">
        <v>202</v>
      </c>
      <c r="C255" s="2" t="s">
        <v>137</v>
      </c>
      <c r="D255" s="2">
        <v>2</v>
      </c>
      <c r="E255" s="2" t="s">
        <v>109</v>
      </c>
      <c r="F255" s="2"/>
    </row>
    <row r="256" spans="1:6" x14ac:dyDescent="0.25">
      <c r="A25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3MM-ANJ-1</v>
      </c>
      <c r="B256" s="2" t="s">
        <v>203</v>
      </c>
      <c r="C256" s="2" t="s">
        <v>132</v>
      </c>
      <c r="D256" s="2">
        <v>6</v>
      </c>
      <c r="E256" s="2" t="s">
        <v>109</v>
      </c>
      <c r="F256" s="2"/>
    </row>
    <row r="257" spans="1:6" x14ac:dyDescent="0.25">
      <c r="A25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3MM-ESP-1</v>
      </c>
      <c r="B257" s="2" t="s">
        <v>203</v>
      </c>
      <c r="C257" s="2" t="s">
        <v>149</v>
      </c>
      <c r="D257" s="2">
        <v>2</v>
      </c>
      <c r="E257" s="2" t="s">
        <v>109</v>
      </c>
      <c r="F257" s="2"/>
    </row>
    <row r="258" spans="1:6" x14ac:dyDescent="0.25">
      <c r="A25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3MM-ELE-1</v>
      </c>
      <c r="B258" s="2" t="s">
        <v>203</v>
      </c>
      <c r="C258" s="2" t="s">
        <v>163</v>
      </c>
      <c r="D258" s="2">
        <v>2</v>
      </c>
      <c r="E258" s="2" t="s">
        <v>109</v>
      </c>
      <c r="F258" s="2"/>
    </row>
    <row r="259" spans="1:6" x14ac:dyDescent="0.25">
      <c r="A25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3MM-FYZ-1</v>
      </c>
      <c r="B259" s="2" t="s">
        <v>203</v>
      </c>
      <c r="C259" s="2" t="s">
        <v>133</v>
      </c>
      <c r="D259" s="2">
        <v>2</v>
      </c>
      <c r="E259" s="2" t="s">
        <v>109</v>
      </c>
      <c r="F259" s="2"/>
    </row>
    <row r="260" spans="1:6" x14ac:dyDescent="0.25">
      <c r="A26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3MM-GRS-1</v>
      </c>
      <c r="B260" s="2" t="s">
        <v>203</v>
      </c>
      <c r="C260" s="2" t="s">
        <v>191</v>
      </c>
      <c r="D260" s="2">
        <v>2</v>
      </c>
      <c r="E260" s="2" t="s">
        <v>109</v>
      </c>
      <c r="F260" s="2"/>
    </row>
    <row r="261" spans="1:6" x14ac:dyDescent="0.25">
      <c r="A26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3MM-GRS-2</v>
      </c>
      <c r="B261" s="2" t="s">
        <v>203</v>
      </c>
      <c r="C261" s="2" t="s">
        <v>192</v>
      </c>
      <c r="D261" s="2">
        <v>2</v>
      </c>
      <c r="E261" s="2" t="s">
        <v>109</v>
      </c>
      <c r="F261" s="2"/>
    </row>
    <row r="262" spans="1:6" x14ac:dyDescent="0.25">
      <c r="A26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3MM-MAT-1</v>
      </c>
      <c r="B262" s="2" t="s">
        <v>203</v>
      </c>
      <c r="C262" s="2" t="s">
        <v>119</v>
      </c>
      <c r="D262" s="2">
        <v>4</v>
      </c>
      <c r="E262" s="2" t="s">
        <v>109</v>
      </c>
      <c r="F262" s="2"/>
    </row>
    <row r="263" spans="1:6" x14ac:dyDescent="0.25">
      <c r="A26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3MM-MNK-1</v>
      </c>
      <c r="B263" s="2" t="s">
        <v>203</v>
      </c>
      <c r="C263" s="2" t="s">
        <v>134</v>
      </c>
      <c r="D263" s="2">
        <v>5</v>
      </c>
      <c r="E263" s="2" t="s">
        <v>109</v>
      </c>
      <c r="F263" s="2"/>
    </row>
    <row r="264" spans="1:6" x14ac:dyDescent="0.25">
      <c r="A26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3MM-MNK-2</v>
      </c>
      <c r="B264" s="2" t="s">
        <v>203</v>
      </c>
      <c r="C264" s="2" t="s">
        <v>135</v>
      </c>
      <c r="D264" s="2">
        <v>5</v>
      </c>
      <c r="E264" s="2" t="s">
        <v>109</v>
      </c>
      <c r="F264" s="2"/>
    </row>
    <row r="265" spans="1:6" x14ac:dyDescent="0.25">
      <c r="A26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3MM-OBN-1</v>
      </c>
      <c r="B265" s="2" t="s">
        <v>203</v>
      </c>
      <c r="C265" s="2" t="s">
        <v>164</v>
      </c>
      <c r="D265" s="2">
        <v>2</v>
      </c>
      <c r="E265" s="2" t="s">
        <v>109</v>
      </c>
      <c r="F265" s="2"/>
    </row>
    <row r="266" spans="1:6" x14ac:dyDescent="0.25">
      <c r="A26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3MM-SJL-1</v>
      </c>
      <c r="B266" s="2" t="s">
        <v>203</v>
      </c>
      <c r="C266" s="2" t="s">
        <v>121</v>
      </c>
      <c r="D266" s="2">
        <v>6</v>
      </c>
      <c r="E266" s="2" t="s">
        <v>109</v>
      </c>
      <c r="F266" s="2"/>
    </row>
    <row r="267" spans="1:6" x14ac:dyDescent="0.25">
      <c r="A26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3MM-STT-1</v>
      </c>
      <c r="B267" s="2" t="s">
        <v>203</v>
      </c>
      <c r="C267" s="2" t="s">
        <v>169</v>
      </c>
      <c r="D267" s="2">
        <v>2</v>
      </c>
      <c r="E267" s="2" t="s">
        <v>109</v>
      </c>
      <c r="F267" s="2"/>
    </row>
    <row r="268" spans="1:6" x14ac:dyDescent="0.25">
      <c r="A26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3MM-TSV-1</v>
      </c>
      <c r="B268" s="2" t="s">
        <v>203</v>
      </c>
      <c r="C268" s="2" t="s">
        <v>137</v>
      </c>
      <c r="D268" s="2">
        <v>2</v>
      </c>
      <c r="E268" s="2" t="s">
        <v>109</v>
      </c>
      <c r="F268" s="2"/>
    </row>
    <row r="269" spans="1:6" x14ac:dyDescent="0.25">
      <c r="A26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3MEAT-ANJ-1</v>
      </c>
      <c r="B269" s="2" t="s">
        <v>204</v>
      </c>
      <c r="C269" s="2" t="s">
        <v>132</v>
      </c>
      <c r="D269" s="2">
        <v>6</v>
      </c>
      <c r="E269" s="2" t="s">
        <v>109</v>
      </c>
      <c r="F269" s="2"/>
    </row>
    <row r="270" spans="1:6" x14ac:dyDescent="0.25">
      <c r="A27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3MEAT-ELR-1</v>
      </c>
      <c r="B270" s="2" t="s">
        <v>204</v>
      </c>
      <c r="C270" s="2" t="s">
        <v>173</v>
      </c>
      <c r="D270" s="2">
        <v>3</v>
      </c>
      <c r="E270" s="2" t="s">
        <v>109</v>
      </c>
      <c r="F270" s="2"/>
    </row>
    <row r="271" spans="1:6" x14ac:dyDescent="0.25">
      <c r="A27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3MEAT-ELR-2</v>
      </c>
      <c r="B271" s="2" t="s">
        <v>204</v>
      </c>
      <c r="C271" s="2" t="s">
        <v>174</v>
      </c>
      <c r="D271" s="2">
        <v>3</v>
      </c>
      <c r="E271" s="2" t="s">
        <v>109</v>
      </c>
      <c r="F271" s="2"/>
    </row>
    <row r="272" spans="1:6" x14ac:dyDescent="0.25">
      <c r="A27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3MEAT-EZR-1</v>
      </c>
      <c r="B272" s="2" t="s">
        <v>204</v>
      </c>
      <c r="C272" s="2" t="s">
        <v>182</v>
      </c>
      <c r="D272" s="2">
        <v>3</v>
      </c>
      <c r="E272" s="2" t="s">
        <v>109</v>
      </c>
      <c r="F272" s="2"/>
    </row>
    <row r="273" spans="1:6" x14ac:dyDescent="0.25">
      <c r="A27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3MEAT-ELE-1</v>
      </c>
      <c r="B273" s="2" t="s">
        <v>204</v>
      </c>
      <c r="C273" s="2" t="s">
        <v>163</v>
      </c>
      <c r="D273" s="2">
        <v>2</v>
      </c>
      <c r="E273" s="2" t="s">
        <v>109</v>
      </c>
      <c r="F273" s="2"/>
    </row>
    <row r="274" spans="1:6" x14ac:dyDescent="0.25">
      <c r="A27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3MEAT-FYZ-1</v>
      </c>
      <c r="B274" s="2" t="s">
        <v>204</v>
      </c>
      <c r="C274" s="2" t="s">
        <v>133</v>
      </c>
      <c r="D274" s="2">
        <v>2</v>
      </c>
      <c r="E274" s="2" t="s">
        <v>109</v>
      </c>
      <c r="F274" s="2"/>
    </row>
    <row r="275" spans="1:6" x14ac:dyDescent="0.25">
      <c r="A27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3MEAT-MAT-1</v>
      </c>
      <c r="B275" s="2" t="s">
        <v>204</v>
      </c>
      <c r="C275" s="2" t="s">
        <v>119</v>
      </c>
      <c r="D275" s="2">
        <v>4</v>
      </c>
      <c r="E275" s="2" t="s">
        <v>109</v>
      </c>
      <c r="F275" s="2"/>
    </row>
    <row r="276" spans="1:6" x14ac:dyDescent="0.25">
      <c r="A27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3MEAT-OBN-1</v>
      </c>
      <c r="B276" s="2" t="s">
        <v>204</v>
      </c>
      <c r="C276" s="2" t="s">
        <v>164</v>
      </c>
      <c r="D276" s="2">
        <v>2</v>
      </c>
      <c r="E276" s="2" t="s">
        <v>109</v>
      </c>
      <c r="F276" s="2"/>
    </row>
    <row r="277" spans="1:6" x14ac:dyDescent="0.25">
      <c r="A27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3MEAT-RIS-1</v>
      </c>
      <c r="B277" s="2" t="s">
        <v>204</v>
      </c>
      <c r="C277" s="2" t="s">
        <v>205</v>
      </c>
      <c r="D277" s="2">
        <v>5</v>
      </c>
      <c r="E277" s="2" t="s">
        <v>109</v>
      </c>
      <c r="F277" s="2"/>
    </row>
    <row r="278" spans="1:6" x14ac:dyDescent="0.25">
      <c r="A27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3MEAT-RIS-2</v>
      </c>
      <c r="B278" s="2" t="s">
        <v>204</v>
      </c>
      <c r="C278" s="2" t="s">
        <v>206</v>
      </c>
      <c r="D278" s="2">
        <v>5</v>
      </c>
      <c r="E278" s="2" t="s">
        <v>109</v>
      </c>
      <c r="F278" s="2"/>
    </row>
    <row r="279" spans="1:6" x14ac:dyDescent="0.25">
      <c r="A27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3MEAT-SJL-1</v>
      </c>
      <c r="B279" s="2" t="s">
        <v>204</v>
      </c>
      <c r="C279" s="2" t="s">
        <v>121</v>
      </c>
      <c r="D279" s="2">
        <v>6</v>
      </c>
      <c r="E279" s="2" t="s">
        <v>109</v>
      </c>
      <c r="F279" s="2"/>
    </row>
    <row r="280" spans="1:6" x14ac:dyDescent="0.25">
      <c r="A28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3MEAT-TSV-1</v>
      </c>
      <c r="B280" s="2" t="s">
        <v>204</v>
      </c>
      <c r="C280" s="2" t="s">
        <v>137</v>
      </c>
      <c r="D280" s="2">
        <v>2</v>
      </c>
      <c r="E280" s="2" t="s">
        <v>109</v>
      </c>
      <c r="F280" s="2"/>
    </row>
    <row r="281" spans="1:6" x14ac:dyDescent="0.25">
      <c r="A28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3M-ANJ-1</v>
      </c>
      <c r="B281" s="2" t="s">
        <v>207</v>
      </c>
      <c r="C281" s="2" t="s">
        <v>132</v>
      </c>
      <c r="D281" s="2">
        <v>6</v>
      </c>
      <c r="E281" s="2" t="s">
        <v>109</v>
      </c>
      <c r="F281" s="2"/>
    </row>
    <row r="282" spans="1:6" x14ac:dyDescent="0.25">
      <c r="A28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3M-FYZ-1</v>
      </c>
      <c r="B282" s="2" t="s">
        <v>207</v>
      </c>
      <c r="C282" s="2" t="s">
        <v>133</v>
      </c>
      <c r="D282" s="2">
        <v>2</v>
      </c>
      <c r="E282" s="2" t="s">
        <v>109</v>
      </c>
      <c r="F282" s="2"/>
    </row>
    <row r="283" spans="1:6" x14ac:dyDescent="0.25">
      <c r="A28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3M-MAT-1</v>
      </c>
      <c r="B283" s="2" t="s">
        <v>207</v>
      </c>
      <c r="C283" s="2" t="s">
        <v>119</v>
      </c>
      <c r="D283" s="2">
        <v>4</v>
      </c>
      <c r="E283" s="2" t="s">
        <v>109</v>
      </c>
      <c r="F283" s="2"/>
    </row>
    <row r="284" spans="1:6" x14ac:dyDescent="0.25">
      <c r="A28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3M-OBN-1</v>
      </c>
      <c r="B284" s="2" t="s">
        <v>207</v>
      </c>
      <c r="C284" s="2" t="s">
        <v>164</v>
      </c>
      <c r="D284" s="2">
        <v>2</v>
      </c>
      <c r="E284" s="2" t="s">
        <v>109</v>
      </c>
      <c r="F284" s="2"/>
    </row>
    <row r="285" spans="1:6" x14ac:dyDescent="0.25">
      <c r="A28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3M-SJL-1</v>
      </c>
      <c r="B285" s="2" t="s">
        <v>207</v>
      </c>
      <c r="C285" s="2" t="s">
        <v>121</v>
      </c>
      <c r="D285" s="2">
        <v>6</v>
      </c>
      <c r="E285" s="2" t="s">
        <v>109</v>
      </c>
      <c r="F285" s="2"/>
    </row>
    <row r="286" spans="1:6" x14ac:dyDescent="0.25">
      <c r="A28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3M-TSV-1</v>
      </c>
      <c r="B286" s="2" t="s">
        <v>207</v>
      </c>
      <c r="C286" s="2" t="s">
        <v>137</v>
      </c>
      <c r="D286" s="2">
        <v>2</v>
      </c>
      <c r="E286" s="2" t="s">
        <v>109</v>
      </c>
      <c r="F286" s="2"/>
    </row>
    <row r="287" spans="1:6" x14ac:dyDescent="0.25">
      <c r="A28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3MEOI-API-1</v>
      </c>
      <c r="B287" s="2" t="s">
        <v>208</v>
      </c>
      <c r="C287" s="2" t="s">
        <v>179</v>
      </c>
      <c r="D287" s="2">
        <v>3</v>
      </c>
      <c r="E287" s="2" t="s">
        <v>109</v>
      </c>
      <c r="F287" s="2"/>
    </row>
    <row r="288" spans="1:6" x14ac:dyDescent="0.25">
      <c r="A28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3MEOI-AUT-1</v>
      </c>
      <c r="B288" s="2" t="s">
        <v>208</v>
      </c>
      <c r="C288" s="2" t="s">
        <v>139</v>
      </c>
      <c r="D288" s="2">
        <v>2</v>
      </c>
      <c r="E288" s="2" t="s">
        <v>109</v>
      </c>
      <c r="F288" s="2"/>
    </row>
    <row r="289" spans="1:6" x14ac:dyDescent="0.25">
      <c r="A28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3MEOI-EKO-1</v>
      </c>
      <c r="B289" s="2" t="s">
        <v>208</v>
      </c>
      <c r="C289" s="2" t="s">
        <v>186</v>
      </c>
      <c r="D289" s="2">
        <v>2</v>
      </c>
      <c r="E289" s="2" t="s">
        <v>109</v>
      </c>
      <c r="F289" s="2"/>
    </row>
    <row r="290" spans="1:6" x14ac:dyDescent="0.25">
      <c r="A29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3MEOI-OAG-1</v>
      </c>
      <c r="B290" s="2" t="s">
        <v>208</v>
      </c>
      <c r="C290" s="2" t="s">
        <v>180</v>
      </c>
      <c r="D290" s="2">
        <v>2</v>
      </c>
      <c r="E290" s="2" t="s">
        <v>109</v>
      </c>
      <c r="F290" s="2"/>
    </row>
    <row r="291" spans="1:6" x14ac:dyDescent="0.25">
      <c r="A29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3MEOI-SIE-1</v>
      </c>
      <c r="B291" s="2" t="s">
        <v>208</v>
      </c>
      <c r="C291" s="2" t="s">
        <v>147</v>
      </c>
      <c r="D291" s="2">
        <v>4</v>
      </c>
      <c r="E291" s="2" t="s">
        <v>109</v>
      </c>
      <c r="F291" s="2"/>
    </row>
    <row r="292" spans="1:6" x14ac:dyDescent="0.25">
      <c r="A29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3MEHVAC/ST-AUT-1</v>
      </c>
      <c r="B292" s="2" t="s">
        <v>209</v>
      </c>
      <c r="C292" s="2" t="s">
        <v>139</v>
      </c>
      <c r="D292" s="2">
        <v>2</v>
      </c>
      <c r="E292" s="2" t="s">
        <v>109</v>
      </c>
      <c r="F292" s="2"/>
    </row>
    <row r="293" spans="1:6" x14ac:dyDescent="0.25">
      <c r="A29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3MEHVAC/ST-ELR-1</v>
      </c>
      <c r="B293" s="2" t="s">
        <v>209</v>
      </c>
      <c r="C293" s="2" t="s">
        <v>140</v>
      </c>
      <c r="D293" s="2">
        <v>2</v>
      </c>
      <c r="E293" s="2" t="s">
        <v>109</v>
      </c>
      <c r="F293" s="2"/>
    </row>
    <row r="294" spans="1:6" x14ac:dyDescent="0.25">
      <c r="A29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3MEHVAC/ST-EZR-1</v>
      </c>
      <c r="B294" s="2" t="s">
        <v>209</v>
      </c>
      <c r="C294" s="2" t="s">
        <v>182</v>
      </c>
      <c r="D294" s="2">
        <v>2</v>
      </c>
      <c r="E294" s="2" t="s">
        <v>109</v>
      </c>
      <c r="F294" s="2"/>
    </row>
    <row r="295" spans="1:6" x14ac:dyDescent="0.25">
      <c r="A29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3MEHVAC/ST-ELE-1</v>
      </c>
      <c r="B295" s="2" t="s">
        <v>209</v>
      </c>
      <c r="C295" s="2" t="s">
        <v>163</v>
      </c>
      <c r="D295" s="2">
        <v>2</v>
      </c>
      <c r="E295" s="2" t="s">
        <v>109</v>
      </c>
      <c r="F295" s="2"/>
    </row>
    <row r="296" spans="1:6" x14ac:dyDescent="0.25">
      <c r="A29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3MEHVAC-DIG-1</v>
      </c>
      <c r="B296" s="2" t="s">
        <v>210</v>
      </c>
      <c r="C296" s="2" t="s">
        <v>211</v>
      </c>
      <c r="D296" s="2">
        <v>5</v>
      </c>
      <c r="E296" s="2" t="s">
        <v>109</v>
      </c>
      <c r="F296" s="2"/>
    </row>
    <row r="297" spans="1:6" x14ac:dyDescent="0.25">
      <c r="A29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3MEST-RVJ-1</v>
      </c>
      <c r="B297" s="2" t="s">
        <v>212</v>
      </c>
      <c r="C297" s="2" t="s">
        <v>213</v>
      </c>
      <c r="D297" s="2">
        <v>5</v>
      </c>
      <c r="E297" s="2" t="s">
        <v>109</v>
      </c>
      <c r="F297" s="2"/>
    </row>
    <row r="298" spans="1:6" x14ac:dyDescent="0.25">
      <c r="A29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3A-ANJ-1</v>
      </c>
      <c r="B298" s="2" t="s">
        <v>214</v>
      </c>
      <c r="C298" s="2" t="s">
        <v>132</v>
      </c>
      <c r="D298" s="2">
        <v>4</v>
      </c>
      <c r="E298" s="2" t="s">
        <v>109</v>
      </c>
      <c r="F298" s="2"/>
    </row>
    <row r="299" spans="1:6" x14ac:dyDescent="0.25">
      <c r="A29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3A-AUO-1</v>
      </c>
      <c r="B299" s="2" t="s">
        <v>214</v>
      </c>
      <c r="C299" s="2" t="s">
        <v>184</v>
      </c>
      <c r="D299" s="2">
        <v>4</v>
      </c>
      <c r="E299" s="2" t="s">
        <v>109</v>
      </c>
      <c r="F299" s="2"/>
    </row>
    <row r="300" spans="1:6" x14ac:dyDescent="0.25">
      <c r="A30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3A-DOA-1</v>
      </c>
      <c r="B300" s="2" t="s">
        <v>214</v>
      </c>
      <c r="C300" s="2" t="s">
        <v>185</v>
      </c>
      <c r="D300" s="2">
        <v>6</v>
      </c>
      <c r="E300" s="2" t="s">
        <v>109</v>
      </c>
      <c r="F300" s="2"/>
    </row>
    <row r="301" spans="1:6" x14ac:dyDescent="0.25">
      <c r="A30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3A-ELK-1</v>
      </c>
      <c r="B301" s="2" t="s">
        <v>214</v>
      </c>
      <c r="C301" s="2" t="s">
        <v>141</v>
      </c>
      <c r="D301" s="2">
        <v>4</v>
      </c>
      <c r="E301" s="2" t="s">
        <v>109</v>
      </c>
      <c r="F301" s="2"/>
    </row>
    <row r="302" spans="1:6" x14ac:dyDescent="0.25">
      <c r="A30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3A-INF-1</v>
      </c>
      <c r="B302" s="2" t="s">
        <v>214</v>
      </c>
      <c r="C302" s="2" t="s">
        <v>143</v>
      </c>
      <c r="D302" s="2">
        <v>2</v>
      </c>
      <c r="E302" s="2" t="s">
        <v>109</v>
      </c>
      <c r="F302" s="2"/>
    </row>
    <row r="303" spans="1:6" x14ac:dyDescent="0.25">
      <c r="A30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3A-MAT-1</v>
      </c>
      <c r="B303" s="2" t="s">
        <v>214</v>
      </c>
      <c r="C303" s="2" t="s">
        <v>119</v>
      </c>
      <c r="D303" s="2">
        <v>2</v>
      </c>
      <c r="E303" s="2" t="s">
        <v>109</v>
      </c>
      <c r="F303" s="2"/>
    </row>
    <row r="304" spans="1:6" x14ac:dyDescent="0.25">
      <c r="A30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3A-SJL-1</v>
      </c>
      <c r="B304" s="2" t="s">
        <v>214</v>
      </c>
      <c r="C304" s="2" t="s">
        <v>121</v>
      </c>
      <c r="D304" s="2">
        <v>2</v>
      </c>
      <c r="E304" s="2" t="s">
        <v>109</v>
      </c>
      <c r="F304" s="2"/>
    </row>
    <row r="305" spans="1:6" x14ac:dyDescent="0.25">
      <c r="A30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3A-TCK-1</v>
      </c>
      <c r="B305" s="2" t="s">
        <v>214</v>
      </c>
      <c r="C305" s="2" t="s">
        <v>144</v>
      </c>
      <c r="D305" s="2">
        <v>2</v>
      </c>
      <c r="E305" s="2" t="s">
        <v>109</v>
      </c>
      <c r="F305" s="2"/>
    </row>
    <row r="306" spans="1:6" x14ac:dyDescent="0.25">
      <c r="A30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3A-TSV-1</v>
      </c>
      <c r="B306" s="2" t="s">
        <v>214</v>
      </c>
      <c r="C306" s="2" t="s">
        <v>137</v>
      </c>
      <c r="D306" s="2">
        <v>3</v>
      </c>
      <c r="E306" s="2" t="s">
        <v>109</v>
      </c>
      <c r="F306" s="2"/>
    </row>
    <row r="307" spans="1:6" x14ac:dyDescent="0.25">
      <c r="A30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3A-USP-1</v>
      </c>
      <c r="B307" s="2" t="s">
        <v>214</v>
      </c>
      <c r="C307" s="2" t="s">
        <v>215</v>
      </c>
      <c r="D307" s="2">
        <v>2</v>
      </c>
      <c r="E307" s="2" t="s">
        <v>109</v>
      </c>
      <c r="F307" s="2"/>
    </row>
    <row r="308" spans="1:6" x14ac:dyDescent="0.25">
      <c r="A30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4AU-ANJ-1</v>
      </c>
      <c r="B308" s="2" t="s">
        <v>216</v>
      </c>
      <c r="C308" s="2" t="s">
        <v>108</v>
      </c>
      <c r="D308" s="2">
        <v>6</v>
      </c>
      <c r="E308" s="2" t="s">
        <v>159</v>
      </c>
      <c r="F308" s="2"/>
    </row>
    <row r="309" spans="1:6" x14ac:dyDescent="0.25">
      <c r="A30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4AU-ANJ-2</v>
      </c>
      <c r="B309" s="2" t="s">
        <v>216</v>
      </c>
      <c r="C309" s="2" t="s">
        <v>110</v>
      </c>
      <c r="D309" s="2">
        <v>6</v>
      </c>
      <c r="E309" s="2" t="s">
        <v>159</v>
      </c>
      <c r="F309" s="2"/>
    </row>
    <row r="310" spans="1:6" x14ac:dyDescent="0.25">
      <c r="A31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4AU-AOO-1</v>
      </c>
      <c r="B310" s="2" t="s">
        <v>216</v>
      </c>
      <c r="C310" s="2" t="s">
        <v>160</v>
      </c>
      <c r="D310" s="2">
        <v>5</v>
      </c>
      <c r="E310" s="2" t="s">
        <v>159</v>
      </c>
      <c r="F310" s="2"/>
    </row>
    <row r="311" spans="1:6" x14ac:dyDescent="0.25">
      <c r="A31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4AU-AOO-2</v>
      </c>
      <c r="B311" s="2" t="s">
        <v>216</v>
      </c>
      <c r="C311" s="2" t="s">
        <v>161</v>
      </c>
      <c r="D311" s="2">
        <v>5</v>
      </c>
      <c r="E311" s="2" t="s">
        <v>159</v>
      </c>
      <c r="F311" s="2"/>
    </row>
    <row r="312" spans="1:6" x14ac:dyDescent="0.25">
      <c r="A31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4AU-EKO-1</v>
      </c>
      <c r="B312" s="2" t="s">
        <v>216</v>
      </c>
      <c r="C312" s="2" t="s">
        <v>186</v>
      </c>
      <c r="D312" s="2">
        <v>2</v>
      </c>
      <c r="E312" s="2" t="s">
        <v>159</v>
      </c>
      <c r="F312" s="2"/>
    </row>
    <row r="313" spans="1:6" x14ac:dyDescent="0.25">
      <c r="A31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4AU-EMD-1</v>
      </c>
      <c r="B313" s="2" t="s">
        <v>216</v>
      </c>
      <c r="C313" s="2" t="s">
        <v>199</v>
      </c>
      <c r="D313" s="2">
        <v>5</v>
      </c>
      <c r="E313" s="2" t="s">
        <v>159</v>
      </c>
      <c r="F313" s="2"/>
    </row>
    <row r="314" spans="1:6" x14ac:dyDescent="0.25">
      <c r="A31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4AU-EMD-2</v>
      </c>
      <c r="B314" s="2" t="s">
        <v>216</v>
      </c>
      <c r="C314" s="2" t="s">
        <v>200</v>
      </c>
      <c r="D314" s="2">
        <v>5</v>
      </c>
      <c r="E314" s="2" t="s">
        <v>159</v>
      </c>
      <c r="F314" s="2"/>
    </row>
    <row r="315" spans="1:6" x14ac:dyDescent="0.25">
      <c r="A31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4AU-ETS-1</v>
      </c>
      <c r="B315" s="2" t="s">
        <v>216</v>
      </c>
      <c r="C315" s="2" t="s">
        <v>217</v>
      </c>
      <c r="D315" s="2">
        <v>2</v>
      </c>
      <c r="E315" s="2" t="s">
        <v>159</v>
      </c>
      <c r="F315" s="2"/>
    </row>
    <row r="316" spans="1:6" x14ac:dyDescent="0.25">
      <c r="A31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4AU-ETV-1</v>
      </c>
      <c r="B316" s="2" t="s">
        <v>216</v>
      </c>
      <c r="C316" s="2" t="s">
        <v>114</v>
      </c>
      <c r="D316" s="2">
        <v>2</v>
      </c>
      <c r="E316" s="2" t="s">
        <v>159</v>
      </c>
      <c r="F316" s="2"/>
    </row>
    <row r="317" spans="1:6" x14ac:dyDescent="0.25">
      <c r="A31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4AU-FYZ-1</v>
      </c>
      <c r="B317" s="2" t="s">
        <v>216</v>
      </c>
      <c r="C317" s="2" t="s">
        <v>115</v>
      </c>
      <c r="D317" s="2">
        <v>1</v>
      </c>
      <c r="E317" s="2" t="s">
        <v>159</v>
      </c>
      <c r="F317" s="2"/>
    </row>
    <row r="318" spans="1:6" x14ac:dyDescent="0.25">
      <c r="A31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4AU-FYZ-2</v>
      </c>
      <c r="B318" s="2" t="s">
        <v>216</v>
      </c>
      <c r="C318" s="2" t="s">
        <v>116</v>
      </c>
      <c r="D318" s="2">
        <v>1</v>
      </c>
      <c r="E318" s="2" t="s">
        <v>159</v>
      </c>
      <c r="F318" s="2"/>
    </row>
    <row r="319" spans="1:6" x14ac:dyDescent="0.25">
      <c r="A31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4AU-MAT-1</v>
      </c>
      <c r="B319" s="2" t="s">
        <v>216</v>
      </c>
      <c r="C319" s="2" t="s">
        <v>218</v>
      </c>
      <c r="D319" s="2">
        <v>4</v>
      </c>
      <c r="E319" s="2" t="s">
        <v>159</v>
      </c>
      <c r="F319" s="2"/>
    </row>
    <row r="320" spans="1:6" x14ac:dyDescent="0.25">
      <c r="A32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4AU-MAT-2</v>
      </c>
      <c r="B320" s="2" t="s">
        <v>216</v>
      </c>
      <c r="C320" s="2" t="s">
        <v>219</v>
      </c>
      <c r="D320" s="2">
        <v>4</v>
      </c>
      <c r="E320" s="2" t="s">
        <v>159</v>
      </c>
      <c r="F320" s="2"/>
    </row>
    <row r="321" spans="1:6" x14ac:dyDescent="0.25">
      <c r="A32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4AU-NBV-1</v>
      </c>
      <c r="B321" s="2" t="s">
        <v>216</v>
      </c>
      <c r="C321" s="2" t="s">
        <v>120</v>
      </c>
      <c r="D321" s="2">
        <v>2</v>
      </c>
      <c r="E321" s="2" t="s">
        <v>159</v>
      </c>
      <c r="F321" s="2"/>
    </row>
    <row r="322" spans="1:6" x14ac:dyDescent="0.25">
      <c r="A32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4AU-SJL-1</v>
      </c>
      <c r="B322" s="2" t="s">
        <v>216</v>
      </c>
      <c r="C322" s="2" t="s">
        <v>220</v>
      </c>
      <c r="D322" s="2">
        <v>6</v>
      </c>
      <c r="E322" s="2" t="s">
        <v>159</v>
      </c>
      <c r="F322" s="2"/>
    </row>
    <row r="323" spans="1:6" x14ac:dyDescent="0.25">
      <c r="A32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4AU-SJL-2</v>
      </c>
      <c r="B323" s="2" t="s">
        <v>216</v>
      </c>
      <c r="C323" s="2" t="s">
        <v>221</v>
      </c>
      <c r="D323" s="2">
        <v>6</v>
      </c>
      <c r="E323" s="2" t="s">
        <v>159</v>
      </c>
      <c r="F323" s="2"/>
    </row>
    <row r="324" spans="1:6" x14ac:dyDescent="0.25">
      <c r="A32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4AU-TSV-1</v>
      </c>
      <c r="B324" s="2" t="s">
        <v>216</v>
      </c>
      <c r="C324" s="2" t="s">
        <v>128</v>
      </c>
      <c r="D324" s="2">
        <v>2</v>
      </c>
      <c r="E324" s="2" t="s">
        <v>159</v>
      </c>
      <c r="F324" s="2"/>
    </row>
    <row r="325" spans="1:6" x14ac:dyDescent="0.25">
      <c r="A32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4AU-TSV-2</v>
      </c>
      <c r="B325" s="2" t="s">
        <v>216</v>
      </c>
      <c r="C325" s="2" t="s">
        <v>129</v>
      </c>
      <c r="D325" s="2">
        <v>2</v>
      </c>
      <c r="E325" s="2" t="s">
        <v>159</v>
      </c>
      <c r="F325" s="2"/>
    </row>
    <row r="326" spans="1:6" x14ac:dyDescent="0.25">
      <c r="A32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4MM-ANJ-1</v>
      </c>
      <c r="B326" s="2" t="s">
        <v>222</v>
      </c>
      <c r="C326" s="2" t="s">
        <v>132</v>
      </c>
      <c r="D326" s="2">
        <v>6</v>
      </c>
      <c r="E326" s="2" t="s">
        <v>159</v>
      </c>
      <c r="F326" s="2"/>
    </row>
    <row r="327" spans="1:6" x14ac:dyDescent="0.25">
      <c r="A32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4MM-EKO-1</v>
      </c>
      <c r="B327" s="2" t="s">
        <v>222</v>
      </c>
      <c r="C327" s="2" t="s">
        <v>186</v>
      </c>
      <c r="D327" s="2">
        <v>2</v>
      </c>
      <c r="E327" s="2" t="s">
        <v>159</v>
      </c>
      <c r="F327" s="2"/>
    </row>
    <row r="328" spans="1:6" x14ac:dyDescent="0.25">
      <c r="A32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4MM-ESP-1</v>
      </c>
      <c r="B328" s="2" t="s">
        <v>222</v>
      </c>
      <c r="C328" s="2" t="s">
        <v>149</v>
      </c>
      <c r="D328" s="2">
        <v>4</v>
      </c>
      <c r="E328" s="2" t="s">
        <v>159</v>
      </c>
      <c r="F328" s="2"/>
    </row>
    <row r="329" spans="1:6" x14ac:dyDescent="0.25">
      <c r="A32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4MM-ELE-1</v>
      </c>
      <c r="B329" s="2" t="s">
        <v>222</v>
      </c>
      <c r="C329" s="2" t="s">
        <v>163</v>
      </c>
      <c r="D329" s="2">
        <v>2</v>
      </c>
      <c r="E329" s="2" t="s">
        <v>159</v>
      </c>
      <c r="F329" s="2"/>
    </row>
    <row r="330" spans="1:6" x14ac:dyDescent="0.25">
      <c r="A33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4MM-ETS-1</v>
      </c>
      <c r="B330" s="2" t="s">
        <v>222</v>
      </c>
      <c r="C330" s="2" t="s">
        <v>217</v>
      </c>
      <c r="D330" s="2">
        <v>2</v>
      </c>
      <c r="E330" s="2" t="s">
        <v>159</v>
      </c>
      <c r="F330" s="2"/>
    </row>
    <row r="331" spans="1:6" x14ac:dyDescent="0.25">
      <c r="A33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4MM-ETV-1</v>
      </c>
      <c r="B331" s="2" t="s">
        <v>222</v>
      </c>
      <c r="C331" s="2" t="s">
        <v>114</v>
      </c>
      <c r="D331" s="2">
        <v>2</v>
      </c>
      <c r="E331" s="2" t="s">
        <v>159</v>
      </c>
      <c r="F331" s="2"/>
    </row>
    <row r="332" spans="1:6" x14ac:dyDescent="0.25">
      <c r="A33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4MM-FYZ-1</v>
      </c>
      <c r="B332" s="2" t="s">
        <v>222</v>
      </c>
      <c r="C332" s="2" t="s">
        <v>133</v>
      </c>
      <c r="D332" s="2">
        <v>1</v>
      </c>
      <c r="E332" s="2" t="s">
        <v>159</v>
      </c>
      <c r="F332" s="2"/>
    </row>
    <row r="333" spans="1:6" x14ac:dyDescent="0.25">
      <c r="A33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4MM-GRS-1</v>
      </c>
      <c r="B333" s="2" t="s">
        <v>222</v>
      </c>
      <c r="C333" s="2" t="s">
        <v>223</v>
      </c>
      <c r="D333" s="2">
        <v>1</v>
      </c>
      <c r="E333" s="2" t="s">
        <v>159</v>
      </c>
      <c r="F333" s="2"/>
    </row>
    <row r="334" spans="1:6" x14ac:dyDescent="0.25">
      <c r="A33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4MM-MAT-1</v>
      </c>
      <c r="B334" s="2" t="s">
        <v>222</v>
      </c>
      <c r="C334" s="2" t="s">
        <v>119</v>
      </c>
      <c r="D334" s="2">
        <v>4</v>
      </c>
      <c r="E334" s="2" t="s">
        <v>159</v>
      </c>
      <c r="F334" s="2"/>
    </row>
    <row r="335" spans="1:6" x14ac:dyDescent="0.25">
      <c r="A33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4MM-MNK-1</v>
      </c>
      <c r="B335" s="2" t="s">
        <v>222</v>
      </c>
      <c r="C335" s="2" t="s">
        <v>134</v>
      </c>
      <c r="D335" s="2">
        <v>3</v>
      </c>
      <c r="E335" s="2" t="s">
        <v>159</v>
      </c>
      <c r="F335" s="2"/>
    </row>
    <row r="336" spans="1:6" x14ac:dyDescent="0.25">
      <c r="A33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4MM-MNK-2</v>
      </c>
      <c r="B336" s="2" t="s">
        <v>222</v>
      </c>
      <c r="C336" s="2" t="s">
        <v>135</v>
      </c>
      <c r="D336" s="2">
        <v>3</v>
      </c>
      <c r="E336" s="2" t="s">
        <v>159</v>
      </c>
      <c r="F336" s="2"/>
    </row>
    <row r="337" spans="1:6" x14ac:dyDescent="0.25">
      <c r="A33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4MM-NBV-1</v>
      </c>
      <c r="B337" s="2" t="s">
        <v>222</v>
      </c>
      <c r="C337" s="2" t="s">
        <v>120</v>
      </c>
      <c r="D337" s="2">
        <v>2</v>
      </c>
      <c r="E337" s="2" t="s">
        <v>159</v>
      </c>
      <c r="F337" s="2"/>
    </row>
    <row r="338" spans="1:6" x14ac:dyDescent="0.25">
      <c r="A33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4MM-SJL-1</v>
      </c>
      <c r="B338" s="2" t="s">
        <v>222</v>
      </c>
      <c r="C338" s="2" t="s">
        <v>121</v>
      </c>
      <c r="D338" s="2">
        <v>6</v>
      </c>
      <c r="E338" s="2" t="s">
        <v>159</v>
      </c>
      <c r="F338" s="2"/>
    </row>
    <row r="339" spans="1:6" x14ac:dyDescent="0.25">
      <c r="A33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4MM-TSV-1</v>
      </c>
      <c r="B339" s="2" t="s">
        <v>222</v>
      </c>
      <c r="C339" s="2" t="s">
        <v>137</v>
      </c>
      <c r="D339" s="2">
        <v>2</v>
      </c>
      <c r="E339" s="2" t="s">
        <v>159</v>
      </c>
      <c r="F339" s="2"/>
    </row>
    <row r="340" spans="1:6" x14ac:dyDescent="0.25">
      <c r="A34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4MEAT-ANJ-1</v>
      </c>
      <c r="B340" s="2" t="s">
        <v>224</v>
      </c>
      <c r="C340" s="2" t="s">
        <v>132</v>
      </c>
      <c r="D340" s="2">
        <v>6</v>
      </c>
      <c r="E340" s="2" t="s">
        <v>159</v>
      </c>
      <c r="F340" s="2"/>
    </row>
    <row r="341" spans="1:6" x14ac:dyDescent="0.25">
      <c r="A34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4MEAT-EKO-1</v>
      </c>
      <c r="B341" s="2" t="s">
        <v>224</v>
      </c>
      <c r="C341" s="2" t="s">
        <v>186</v>
      </c>
      <c r="D341" s="2">
        <v>2</v>
      </c>
      <c r="E341" s="2" t="s">
        <v>159</v>
      </c>
      <c r="F341" s="2"/>
    </row>
    <row r="342" spans="1:6" x14ac:dyDescent="0.25">
      <c r="A34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4MEAT-ELR-1</v>
      </c>
      <c r="B342" s="2" t="s">
        <v>224</v>
      </c>
      <c r="C342" s="2" t="s">
        <v>173</v>
      </c>
      <c r="D342" s="2">
        <v>3</v>
      </c>
      <c r="E342" s="2" t="s">
        <v>159</v>
      </c>
      <c r="F342" s="2"/>
    </row>
    <row r="343" spans="1:6" x14ac:dyDescent="0.25">
      <c r="A34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4MEAT-ELR-2</v>
      </c>
      <c r="B343" s="2" t="s">
        <v>224</v>
      </c>
      <c r="C343" s="2" t="s">
        <v>174</v>
      </c>
      <c r="D343" s="2">
        <v>3</v>
      </c>
      <c r="E343" s="2" t="s">
        <v>159</v>
      </c>
      <c r="F343" s="2"/>
    </row>
    <row r="344" spans="1:6" x14ac:dyDescent="0.25">
      <c r="A34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4MEAT-EZR-1</v>
      </c>
      <c r="B344" s="2" t="s">
        <v>224</v>
      </c>
      <c r="C344" s="2" t="s">
        <v>182</v>
      </c>
      <c r="D344" s="2">
        <v>3</v>
      </c>
      <c r="E344" s="2" t="s">
        <v>159</v>
      </c>
      <c r="F344" s="2"/>
    </row>
    <row r="345" spans="1:6" x14ac:dyDescent="0.25">
      <c r="A34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4MEAT-ETS-1</v>
      </c>
      <c r="B345" s="2" t="s">
        <v>224</v>
      </c>
      <c r="C345" s="2" t="s">
        <v>217</v>
      </c>
      <c r="D345" s="2">
        <v>2</v>
      </c>
      <c r="E345" s="2" t="s">
        <v>159</v>
      </c>
      <c r="F345" s="2"/>
    </row>
    <row r="346" spans="1:6" x14ac:dyDescent="0.25">
      <c r="A34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4MEAT-ETV-1</v>
      </c>
      <c r="B346" s="2" t="s">
        <v>224</v>
      </c>
      <c r="C346" s="2" t="s">
        <v>114</v>
      </c>
      <c r="D346" s="2">
        <v>2</v>
      </c>
      <c r="E346" s="2" t="s">
        <v>159</v>
      </c>
      <c r="F346" s="2"/>
    </row>
    <row r="347" spans="1:6" x14ac:dyDescent="0.25">
      <c r="A34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4MEAT-MAT-1</v>
      </c>
      <c r="B347" s="2" t="s">
        <v>224</v>
      </c>
      <c r="C347" s="2" t="s">
        <v>119</v>
      </c>
      <c r="D347" s="2">
        <v>4</v>
      </c>
      <c r="E347" s="2" t="s">
        <v>159</v>
      </c>
      <c r="F347" s="2"/>
    </row>
    <row r="348" spans="1:6" x14ac:dyDescent="0.25">
      <c r="A34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4MEAT-NBV-1</v>
      </c>
      <c r="B348" s="2" t="s">
        <v>224</v>
      </c>
      <c r="C348" s="2" t="s">
        <v>120</v>
      </c>
      <c r="D348" s="2">
        <v>2</v>
      </c>
      <c r="E348" s="2" t="s">
        <v>159</v>
      </c>
      <c r="F348" s="2"/>
    </row>
    <row r="349" spans="1:6" x14ac:dyDescent="0.25">
      <c r="A34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4MEAT-RIS-1</v>
      </c>
      <c r="B349" s="2" t="s">
        <v>224</v>
      </c>
      <c r="C349" s="2" t="s">
        <v>225</v>
      </c>
      <c r="D349" s="2">
        <v>5</v>
      </c>
      <c r="E349" s="2" t="s">
        <v>159</v>
      </c>
      <c r="F349" s="2"/>
    </row>
    <row r="350" spans="1:6" x14ac:dyDescent="0.25">
      <c r="A35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4MEAT-SJL-1</v>
      </c>
      <c r="B350" s="2" t="s">
        <v>224</v>
      </c>
      <c r="C350" s="2" t="s">
        <v>121</v>
      </c>
      <c r="D350" s="2">
        <v>6</v>
      </c>
      <c r="E350" s="2" t="s">
        <v>159</v>
      </c>
      <c r="F350" s="2"/>
    </row>
    <row r="351" spans="1:6" x14ac:dyDescent="0.25">
      <c r="A35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4MEAT-TSV-1</v>
      </c>
      <c r="B351" s="2" t="s">
        <v>224</v>
      </c>
      <c r="C351" s="2" t="s">
        <v>128</v>
      </c>
      <c r="D351" s="2">
        <v>2</v>
      </c>
      <c r="E351" s="2" t="s">
        <v>159</v>
      </c>
      <c r="F351" s="2"/>
    </row>
    <row r="352" spans="1:6" x14ac:dyDescent="0.25">
      <c r="A35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4AU/MM/MEAT-NEJ-1</v>
      </c>
      <c r="B352" s="2" t="s">
        <v>226</v>
      </c>
      <c r="C352" s="2" t="s">
        <v>227</v>
      </c>
      <c r="D352" s="2">
        <v>6</v>
      </c>
      <c r="E352" s="2" t="s">
        <v>159</v>
      </c>
      <c r="F352" s="2"/>
    </row>
    <row r="353" spans="1:6" x14ac:dyDescent="0.25">
      <c r="A35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4MSZ/MEOI-ANJ-1</v>
      </c>
      <c r="B353" s="2" t="s">
        <v>228</v>
      </c>
      <c r="C353" s="2" t="s">
        <v>108</v>
      </c>
      <c r="D353" s="2">
        <v>6</v>
      </c>
      <c r="E353" s="2" t="s">
        <v>159</v>
      </c>
      <c r="F353" s="2"/>
    </row>
    <row r="354" spans="1:6" x14ac:dyDescent="0.25">
      <c r="A35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4MSZ/MEOI-EKO-1</v>
      </c>
      <c r="B354" s="2" t="s">
        <v>228</v>
      </c>
      <c r="C354" s="2" t="s">
        <v>186</v>
      </c>
      <c r="D354" s="2">
        <v>2</v>
      </c>
      <c r="E354" s="2" t="s">
        <v>159</v>
      </c>
      <c r="F354" s="2"/>
    </row>
    <row r="355" spans="1:6" x14ac:dyDescent="0.25">
      <c r="A35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4MSZ/MEOI-ETV-1</v>
      </c>
      <c r="B355" s="2" t="s">
        <v>228</v>
      </c>
      <c r="C355" s="2" t="s">
        <v>114</v>
      </c>
      <c r="D355" s="2">
        <v>2</v>
      </c>
      <c r="E355" s="2" t="s">
        <v>159</v>
      </c>
      <c r="F355" s="2"/>
    </row>
    <row r="356" spans="1:6" x14ac:dyDescent="0.25">
      <c r="A35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4MSZ/MEOI-FYZ-1</v>
      </c>
      <c r="B356" s="2" t="s">
        <v>228</v>
      </c>
      <c r="C356" s="2" t="s">
        <v>133</v>
      </c>
      <c r="D356" s="2">
        <v>1</v>
      </c>
      <c r="E356" s="2" t="s">
        <v>159</v>
      </c>
      <c r="F356" s="2"/>
    </row>
    <row r="357" spans="1:6" x14ac:dyDescent="0.25">
      <c r="A35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4MSZ/MEOI-MAT-1</v>
      </c>
      <c r="B357" s="2" t="s">
        <v>228</v>
      </c>
      <c r="C357" s="2" t="s">
        <v>119</v>
      </c>
      <c r="D357" s="2">
        <v>4</v>
      </c>
      <c r="E357" s="2" t="s">
        <v>159</v>
      </c>
      <c r="F357" s="2"/>
    </row>
    <row r="358" spans="1:6" x14ac:dyDescent="0.25">
      <c r="A35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4MSZ/MEOI-NBV-1</v>
      </c>
      <c r="B358" s="2" t="s">
        <v>228</v>
      </c>
      <c r="C358" s="2" t="s">
        <v>120</v>
      </c>
      <c r="D358" s="2">
        <v>2</v>
      </c>
      <c r="E358" s="2" t="s">
        <v>159</v>
      </c>
      <c r="F358" s="2"/>
    </row>
    <row r="359" spans="1:6" x14ac:dyDescent="0.25">
      <c r="A35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4MSZ/MEOI-SJL-1</v>
      </c>
      <c r="B359" s="2" t="s">
        <v>228</v>
      </c>
      <c r="C359" s="2" t="s">
        <v>121</v>
      </c>
      <c r="D359" s="2">
        <v>6</v>
      </c>
      <c r="E359" s="2" t="s">
        <v>159</v>
      </c>
      <c r="F359" s="2"/>
    </row>
    <row r="360" spans="1:6" x14ac:dyDescent="0.25">
      <c r="A36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4MSZ/MEOI-TSV-1</v>
      </c>
      <c r="B360" s="2" t="s">
        <v>228</v>
      </c>
      <c r="C360" s="2" t="s">
        <v>137</v>
      </c>
      <c r="D360" s="2">
        <v>2</v>
      </c>
      <c r="E360" s="2" t="s">
        <v>159</v>
      </c>
      <c r="F360" s="2"/>
    </row>
    <row r="361" spans="1:6" x14ac:dyDescent="0.25">
      <c r="A361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4MEOI-ANJ-1</v>
      </c>
      <c r="B361" s="2" t="s">
        <v>229</v>
      </c>
      <c r="C361" s="2" t="s">
        <v>132</v>
      </c>
      <c r="D361" s="2">
        <v>6</v>
      </c>
      <c r="E361" s="2" t="s">
        <v>159</v>
      </c>
      <c r="F361" s="2"/>
    </row>
    <row r="362" spans="1:6" x14ac:dyDescent="0.25">
      <c r="A362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4MEOI-API-1</v>
      </c>
      <c r="B362" s="2" t="s">
        <v>229</v>
      </c>
      <c r="C362" s="2" t="s">
        <v>179</v>
      </c>
      <c r="D362" s="2">
        <v>3</v>
      </c>
      <c r="E362" s="2" t="s">
        <v>159</v>
      </c>
      <c r="F362" s="2"/>
    </row>
    <row r="363" spans="1:6" x14ac:dyDescent="0.25">
      <c r="A363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4MEOI-AUT-1</v>
      </c>
      <c r="B363" s="2" t="s">
        <v>229</v>
      </c>
      <c r="C363" s="2" t="s">
        <v>139</v>
      </c>
      <c r="D363" s="2">
        <v>2</v>
      </c>
      <c r="E363" s="2" t="s">
        <v>159</v>
      </c>
      <c r="F363" s="2"/>
    </row>
    <row r="364" spans="1:6" x14ac:dyDescent="0.25">
      <c r="A364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4MEOI-ETS-1</v>
      </c>
      <c r="B364" s="2" t="s">
        <v>229</v>
      </c>
      <c r="C364" s="2" t="s">
        <v>217</v>
      </c>
      <c r="D364" s="2">
        <v>2</v>
      </c>
      <c r="E364" s="2" t="s">
        <v>159</v>
      </c>
      <c r="F364" s="2"/>
    </row>
    <row r="365" spans="1:6" x14ac:dyDescent="0.25">
      <c r="A365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4MEOI-OAG-1</v>
      </c>
      <c r="B365" s="2" t="s">
        <v>229</v>
      </c>
      <c r="C365" s="2" t="s">
        <v>180</v>
      </c>
      <c r="D365" s="2">
        <v>2</v>
      </c>
      <c r="E365" s="2" t="s">
        <v>159</v>
      </c>
      <c r="F365" s="2"/>
    </row>
    <row r="366" spans="1:6" x14ac:dyDescent="0.25">
      <c r="A366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4MEOI-SIE-1</v>
      </c>
      <c r="B366" s="2" t="s">
        <v>229</v>
      </c>
      <c r="C366" s="2" t="s">
        <v>147</v>
      </c>
      <c r="D366" s="2">
        <v>3</v>
      </c>
      <c r="E366" s="2" t="s">
        <v>159</v>
      </c>
      <c r="F366" s="2"/>
    </row>
    <row r="367" spans="1:6" x14ac:dyDescent="0.25">
      <c r="A367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4MSZ-GRS-1</v>
      </c>
      <c r="B367" s="2" t="s">
        <v>230</v>
      </c>
      <c r="C367" s="2" t="s">
        <v>223</v>
      </c>
      <c r="D367" s="2">
        <v>3</v>
      </c>
      <c r="E367" s="2" t="s">
        <v>159</v>
      </c>
      <c r="F367" s="2"/>
    </row>
    <row r="368" spans="1:6" x14ac:dyDescent="0.25">
      <c r="A368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4MSZ-STN-1</v>
      </c>
      <c r="B368" s="2" t="s">
        <v>230</v>
      </c>
      <c r="C368" s="2" t="s">
        <v>136</v>
      </c>
      <c r="D368" s="2">
        <v>1</v>
      </c>
      <c r="E368" s="2" t="s">
        <v>159</v>
      </c>
      <c r="F368" s="2"/>
    </row>
    <row r="369" spans="1:6" x14ac:dyDescent="0.25">
      <c r="A369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4MSZ-SXX-1</v>
      </c>
      <c r="B369" s="2" t="s">
        <v>230</v>
      </c>
      <c r="C369" s="2" t="s">
        <v>231</v>
      </c>
      <c r="D369" s="2">
        <v>2</v>
      </c>
      <c r="E369" s="2" t="s">
        <v>159</v>
      </c>
      <c r="F369" s="2"/>
    </row>
    <row r="370" spans="1:6" x14ac:dyDescent="0.25">
      <c r="A370" s="2" t="str">
        <f>_xlfn.LET(
    _xlpm.lessonGroup, IFERROR(VALUE(_xlfn.TEXTAFTER(lessons[[#This Row],[Názov]], " ", -1)), 1),
    _xlpm.clearName, IF(ISNUMBER(VALUE(RIGHT(lessons[[#This Row],[Názov]], 1))), _xlfn.TEXTBEFORE(lessons[[#This Row],[Názov]], " ", -1), lessons[[#This Row],[Názov]]),
    _xlpm.abbreviation, _xlfn.XLOOKUP(_xlpm.clearName, subjects[Predmet], subjects[Skratka], ""),
    lessons[[#This Row],[Trieda]] &amp; "-" &amp; _xlpm.abbreviation &amp; "-" &amp; _xlpm.lessonGroup
)</f>
        <v>4MSZ-TMO-1</v>
      </c>
      <c r="B370" s="2" t="s">
        <v>230</v>
      </c>
      <c r="C370" s="2" t="s">
        <v>232</v>
      </c>
      <c r="D370" s="2">
        <v>6</v>
      </c>
      <c r="E370" s="2" t="s">
        <v>159</v>
      </c>
      <c r="F370" s="2"/>
    </row>
  </sheetData>
  <dataValidations count="2">
    <dataValidation type="list" allowBlank="1" showInputMessage="1" showErrorMessage="1" sqref="E2:E370" xr:uid="{6A9B1857-162A-4820-B502-D6EB47B72544}">
      <formula1>"Párny týždeň,Nepárny týždeň,Každý týždeň"</formula1>
    </dataValidation>
    <dataValidation type="list" allowBlank="1" showInputMessage="1" showErrorMessage="1" sqref="F2:F370" xr:uid="{A4C52F66-4793-4DFA-A20C-458ADB5D795A}">
      <formula1>TeacherDropDownList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51E5-F2DD-4604-80FA-42B795ECC175}">
  <dimension ref="A1:BI42"/>
  <sheetViews>
    <sheetView workbookViewId="0">
      <selection activeCell="E9" sqref="E9"/>
    </sheetView>
  </sheetViews>
  <sheetFormatPr defaultRowHeight="15" x14ac:dyDescent="0.25"/>
  <cols>
    <col min="1" max="1" width="7.5703125" style="2" bestFit="1" customWidth="1"/>
    <col min="2" max="2" width="21.85546875" style="2" bestFit="1" customWidth="1"/>
    <col min="3" max="3" width="14.140625" style="2" bestFit="1" customWidth="1"/>
    <col min="4" max="4" width="12.42578125" style="2" bestFit="1" customWidth="1"/>
    <col min="5" max="5" width="15" style="2" bestFit="1" customWidth="1"/>
    <col min="6" max="6" width="13.42578125" style="2" bestFit="1" customWidth="1"/>
    <col min="7" max="7" width="15.28515625" style="2" bestFit="1" customWidth="1"/>
    <col min="8" max="8" width="17.7109375" style="2" bestFit="1" customWidth="1"/>
    <col min="9" max="9" width="21.28515625" style="2" bestFit="1" customWidth="1"/>
    <col min="10" max="10" width="18" style="2" customWidth="1"/>
    <col min="11" max="11" width="7.5703125" style="2" hidden="1" customWidth="1"/>
    <col min="12" max="12" width="4.28515625" style="2" bestFit="1" customWidth="1"/>
    <col min="13" max="13" width="4.7109375" style="2" bestFit="1" customWidth="1"/>
    <col min="14" max="14" width="3.85546875" style="2" bestFit="1" customWidth="1"/>
    <col min="15" max="15" width="4.42578125" style="2" bestFit="1" customWidth="1"/>
    <col min="16" max="16" width="5" style="2" bestFit="1" customWidth="1"/>
    <col min="17" max="17" width="4.85546875" style="2" bestFit="1" customWidth="1"/>
    <col min="18" max="18" width="4.28515625" style="2" bestFit="1" customWidth="1"/>
    <col min="19" max="19" width="5" style="2" bestFit="1" customWidth="1"/>
    <col min="20" max="20" width="4.42578125" style="2" bestFit="1" customWidth="1"/>
    <col min="21" max="21" width="4.7109375" style="2" bestFit="1" customWidth="1"/>
    <col min="22" max="24" width="4.42578125" style="2" bestFit="1" customWidth="1"/>
    <col min="25" max="25" width="4.28515625" style="2" bestFit="1" customWidth="1"/>
    <col min="26" max="26" width="5.140625" style="2" bestFit="1" customWidth="1"/>
    <col min="27" max="28" width="4.28515625" style="2" bestFit="1" customWidth="1"/>
    <col min="29" max="29" width="4.5703125" style="2" bestFit="1" customWidth="1"/>
    <col min="30" max="30" width="4.140625" style="2" bestFit="1" customWidth="1"/>
    <col min="31" max="32" width="4.28515625" style="2" bestFit="1" customWidth="1"/>
    <col min="33" max="33" width="4.140625" style="2" bestFit="1" customWidth="1"/>
    <col min="34" max="34" width="4.85546875" style="2" bestFit="1" customWidth="1"/>
    <col min="35" max="35" width="4.28515625" style="2" bestFit="1" customWidth="1"/>
    <col min="36" max="36" width="5" style="2" bestFit="1" customWidth="1"/>
    <col min="37" max="37" width="4" style="2" bestFit="1" customWidth="1"/>
    <col min="38" max="38" width="4.85546875" style="2" bestFit="1" customWidth="1"/>
    <col min="39" max="39" width="4.7109375" style="2" bestFit="1" customWidth="1"/>
    <col min="40" max="40" width="5.140625" style="2" bestFit="1" customWidth="1"/>
    <col min="41" max="41" width="4.7109375" style="2" bestFit="1" customWidth="1"/>
    <col min="42" max="42" width="4.28515625" style="2" bestFit="1" customWidth="1"/>
    <col min="43" max="44" width="5" style="2" bestFit="1" customWidth="1"/>
    <col min="45" max="45" width="4.5703125" style="2" bestFit="1" customWidth="1"/>
    <col min="46" max="46" width="4.7109375" style="2" bestFit="1" customWidth="1"/>
    <col min="47" max="47" width="5" style="2" bestFit="1" customWidth="1"/>
    <col min="48" max="48" width="4" style="2" bestFit="1" customWidth="1"/>
    <col min="49" max="50" width="4.140625" style="2" bestFit="1" customWidth="1"/>
    <col min="51" max="52" width="3.85546875" style="2" bestFit="1" customWidth="1"/>
    <col min="53" max="53" width="4.140625" style="2" bestFit="1" customWidth="1"/>
    <col min="54" max="54" width="4.42578125" style="2" bestFit="1" customWidth="1"/>
    <col min="55" max="55" width="4.5703125" style="2" bestFit="1" customWidth="1"/>
    <col min="56" max="56" width="4.42578125" style="2" bestFit="1" customWidth="1"/>
    <col min="57" max="57" width="4.5703125" style="2" bestFit="1" customWidth="1"/>
    <col min="58" max="58" width="5" style="2" bestFit="1" customWidth="1"/>
    <col min="59" max="59" width="4.28515625" style="2" bestFit="1" customWidth="1"/>
    <col min="60" max="60" width="4.5703125" style="2" bestFit="1" customWidth="1"/>
    <col min="61" max="61" width="4.85546875" style="2" bestFit="1" customWidth="1"/>
    <col min="62" max="62" width="9.140625" style="2"/>
    <col min="63" max="63" width="29.140625" style="2" customWidth="1"/>
    <col min="64" max="64" width="27.85546875" style="2" customWidth="1"/>
    <col min="65" max="16384" width="9.140625" style="2"/>
  </cols>
  <sheetData>
    <row r="1" spans="1:61" s="4" customFormat="1" ht="45" x14ac:dyDescent="0.25">
      <c r="A1" s="4" t="s">
        <v>102</v>
      </c>
      <c r="B1" s="4" t="s">
        <v>235</v>
      </c>
      <c r="C1" s="4" t="s">
        <v>234</v>
      </c>
      <c r="D1" s="4" t="s">
        <v>236</v>
      </c>
      <c r="E1" s="4" t="s">
        <v>281</v>
      </c>
      <c r="F1" s="4" t="s">
        <v>282</v>
      </c>
      <c r="G1" s="4" t="s">
        <v>283</v>
      </c>
      <c r="H1" s="4" t="s">
        <v>237</v>
      </c>
      <c r="I1" s="4" t="s">
        <v>238</v>
      </c>
      <c r="J1" s="4" t="s">
        <v>239</v>
      </c>
      <c r="K1" s="4" t="s">
        <v>284</v>
      </c>
      <c r="L1" s="4" t="str" cm="1">
        <f t="array" ref="L1:BI1">TRANSPOSE(subjects[Skratka])</f>
        <v>ANJ</v>
      </c>
      <c r="M1" s="4" t="str">
        <v>AEC</v>
      </c>
      <c r="N1" s="4" t="str">
        <v>API</v>
      </c>
      <c r="O1" s="4" t="str">
        <v>AUT</v>
      </c>
      <c r="P1" s="4" t="str">
        <v>AOO</v>
      </c>
      <c r="Q1" s="4" t="str">
        <v>AUO</v>
      </c>
      <c r="R1" s="4" t="str">
        <v>DEJ</v>
      </c>
      <c r="S1" s="4" t="str">
        <v>DOA</v>
      </c>
      <c r="T1" s="4" t="str">
        <v>DIG</v>
      </c>
      <c r="U1" s="4" t="str">
        <v>EKO</v>
      </c>
      <c r="V1" s="4" t="str">
        <v>ELR</v>
      </c>
      <c r="W1" s="4" t="str">
        <v>ESP</v>
      </c>
      <c r="X1" s="4" t="str">
        <v>EZR</v>
      </c>
      <c r="Y1" s="4" t="str">
        <v>ELE</v>
      </c>
      <c r="Z1" s="4" t="str">
        <v>EMD</v>
      </c>
      <c r="AA1" s="4" t="str">
        <v>ETS</v>
      </c>
      <c r="AB1" s="4" t="str">
        <v>ELK</v>
      </c>
      <c r="AC1" s="4" t="str">
        <v>ELG</v>
      </c>
      <c r="AD1" s="4" t="str">
        <v>EZZ</v>
      </c>
      <c r="AE1" s="4" t="str">
        <v>ETE</v>
      </c>
      <c r="AF1" s="4" t="str">
        <v>ETV</v>
      </c>
      <c r="AG1" s="4" t="str">
        <v>FYZ</v>
      </c>
      <c r="AH1" s="4" t="str">
        <v>GRS</v>
      </c>
      <c r="AI1" s="4" t="str">
        <v>GAJ</v>
      </c>
      <c r="AJ1" s="4" t="str">
        <v>CHE</v>
      </c>
      <c r="AK1" s="4" t="str">
        <v>INF</v>
      </c>
      <c r="AL1" s="4" t="str">
        <v>KOR</v>
      </c>
      <c r="AM1" s="4" t="str">
        <v>MAT</v>
      </c>
      <c r="AN1" s="4" t="str">
        <v>MNK</v>
      </c>
      <c r="AO1" s="4" t="str">
        <v>NBV</v>
      </c>
      <c r="AP1" s="4" t="str">
        <v>NEJ</v>
      </c>
      <c r="AQ1" s="4" t="str">
        <v>OBN</v>
      </c>
      <c r="AR1" s="4" t="str">
        <v>OAG</v>
      </c>
      <c r="AS1" s="4" t="str">
        <v>PRX</v>
      </c>
      <c r="AT1" s="4" t="str">
        <v>OVY</v>
      </c>
      <c r="AU1" s="4" t="str">
        <v>PDQ</v>
      </c>
      <c r="AV1" s="4" t="str">
        <v>RIS</v>
      </c>
      <c r="AW1" s="4" t="str">
        <v>RPJ</v>
      </c>
      <c r="AX1" s="4" t="str">
        <v>RVJ</v>
      </c>
      <c r="AY1" s="4" t="str">
        <v>SIE</v>
      </c>
      <c r="AZ1" s="4" t="str">
        <v>SJL</v>
      </c>
      <c r="BA1" s="4" t="str">
        <v>STT</v>
      </c>
      <c r="BB1" s="4" t="str">
        <v>STR</v>
      </c>
      <c r="BC1" s="4" t="str">
        <v>STN</v>
      </c>
      <c r="BD1" s="4" t="str">
        <v>SXX</v>
      </c>
      <c r="BE1" s="4" t="str">
        <v>TCK</v>
      </c>
      <c r="BF1" s="4" t="str">
        <v>TMO</v>
      </c>
      <c r="BG1" s="4" t="str">
        <v>TSV</v>
      </c>
      <c r="BH1" s="4" t="str">
        <v>USP</v>
      </c>
      <c r="BI1" s="4" t="str">
        <v>CHZ</v>
      </c>
    </row>
    <row r="2" spans="1:61" x14ac:dyDescent="0.25">
      <c r="A2" s="2">
        <v>1</v>
      </c>
      <c r="B2" s="2" t="s">
        <v>241</v>
      </c>
      <c r="C2" s="2" t="s">
        <v>240</v>
      </c>
      <c r="E2" s="2">
        <v>23</v>
      </c>
      <c r="F2" s="2">
        <v>26</v>
      </c>
      <c r="G2" s="2">
        <v>29</v>
      </c>
      <c r="H2" s="2">
        <f>teachers[[#This Row],[Týždenný minimálny úväzok]]*2</f>
        <v>46</v>
      </c>
      <c r="I2" s="2">
        <f>teachers[[#This Row],[Týždenný cieľový úväzok]]*2</f>
        <v>52</v>
      </c>
      <c r="J2" s="2">
        <f>teachers[[#This Row],[Týždenný maximálny úväzok]]*2</f>
        <v>58</v>
      </c>
      <c r="K2" s="2" t="str">
        <f>teachers[[#This Row],[ID]] &amp; " - " &amp; teachers[[#This Row],[Meno a priezvisko]]</f>
        <v>1 - Učiteľ 1</v>
      </c>
      <c r="L2" s="6" t="b">
        <v>1</v>
      </c>
      <c r="M2" s="6" t="b">
        <v>0</v>
      </c>
      <c r="N2" s="6" t="b">
        <v>0</v>
      </c>
      <c r="O2" s="6" t="b">
        <v>0</v>
      </c>
      <c r="P2" s="6" t="b">
        <v>0</v>
      </c>
      <c r="Q2" s="6" t="b">
        <v>0</v>
      </c>
      <c r="R2" s="6" t="b">
        <v>0</v>
      </c>
      <c r="S2" s="6" t="b">
        <v>0</v>
      </c>
      <c r="T2" s="6" t="b">
        <v>0</v>
      </c>
      <c r="U2" s="6" t="b">
        <v>0</v>
      </c>
      <c r="V2" s="6" t="b">
        <v>0</v>
      </c>
      <c r="W2" s="6" t="b">
        <v>0</v>
      </c>
      <c r="X2" s="6" t="b">
        <v>0</v>
      </c>
      <c r="Y2" s="6" t="b">
        <v>0</v>
      </c>
      <c r="Z2" s="6" t="b">
        <v>0</v>
      </c>
      <c r="AA2" s="6" t="b">
        <v>0</v>
      </c>
      <c r="AB2" s="6" t="b">
        <v>0</v>
      </c>
      <c r="AC2" s="6" t="b">
        <v>0</v>
      </c>
      <c r="AD2" s="6" t="b">
        <v>0</v>
      </c>
      <c r="AE2" s="6" t="b">
        <v>0</v>
      </c>
      <c r="AF2" s="6" t="b">
        <v>0</v>
      </c>
      <c r="AG2" s="6" t="b">
        <v>0</v>
      </c>
      <c r="AH2" s="6" t="b">
        <v>0</v>
      </c>
      <c r="AI2" s="6" t="b">
        <v>0</v>
      </c>
      <c r="AJ2" s="6" t="b">
        <v>0</v>
      </c>
      <c r="AK2" s="6" t="b">
        <v>0</v>
      </c>
      <c r="AL2" s="6" t="b">
        <v>0</v>
      </c>
      <c r="AM2" s="6" t="b">
        <v>0</v>
      </c>
      <c r="AN2" s="6" t="b">
        <v>0</v>
      </c>
      <c r="AO2" s="6" t="b">
        <v>0</v>
      </c>
      <c r="AP2" s="6" t="b">
        <v>0</v>
      </c>
      <c r="AQ2" s="6" t="b">
        <v>0</v>
      </c>
      <c r="AR2" s="6" t="b">
        <v>0</v>
      </c>
      <c r="AS2" s="6" t="b">
        <v>0</v>
      </c>
      <c r="AT2" s="6" t="b">
        <v>0</v>
      </c>
      <c r="AU2" s="6" t="b">
        <v>0</v>
      </c>
      <c r="AV2" s="6" t="b">
        <v>0</v>
      </c>
      <c r="AW2" s="6" t="b">
        <v>0</v>
      </c>
      <c r="AX2" s="6" t="b">
        <v>0</v>
      </c>
      <c r="AY2" s="6" t="b">
        <v>0</v>
      </c>
      <c r="AZ2" s="6" t="b">
        <v>0</v>
      </c>
      <c r="BA2" s="6" t="b">
        <v>0</v>
      </c>
      <c r="BB2" s="6" t="b">
        <v>0</v>
      </c>
      <c r="BC2" s="6" t="b">
        <v>0</v>
      </c>
      <c r="BD2" s="6" t="b">
        <v>0</v>
      </c>
      <c r="BE2" s="6" t="b">
        <v>0</v>
      </c>
      <c r="BF2" s="6" t="b">
        <v>0</v>
      </c>
      <c r="BG2" s="6" t="b">
        <v>0</v>
      </c>
      <c r="BH2" s="6" t="b">
        <v>0</v>
      </c>
      <c r="BI2" s="6" t="b">
        <v>0</v>
      </c>
    </row>
    <row r="3" spans="1:61" x14ac:dyDescent="0.25">
      <c r="A3" s="2">
        <v>2</v>
      </c>
      <c r="B3" s="2" t="s">
        <v>243</v>
      </c>
      <c r="C3" s="2" t="s">
        <v>242</v>
      </c>
      <c r="E3" s="2">
        <v>18</v>
      </c>
      <c r="F3" s="2">
        <v>21</v>
      </c>
      <c r="G3" s="2">
        <v>23</v>
      </c>
      <c r="H3" s="2">
        <f>teachers[[#This Row],[Týždenný minimálny úväzok]]*2</f>
        <v>36</v>
      </c>
      <c r="I3" s="2">
        <f>teachers[[#This Row],[Týždenný cieľový úväzok]]*2</f>
        <v>42</v>
      </c>
      <c r="J3" s="2">
        <f>teachers[[#This Row],[Týždenný maximálny úväzok]]*2</f>
        <v>46</v>
      </c>
      <c r="K3" s="2" t="str">
        <f>teachers[[#This Row],[ID]] &amp; " - " &amp; teachers[[#This Row],[Meno a priezvisko]]</f>
        <v>2 - Učiteľ 2</v>
      </c>
      <c r="L3" s="6" t="b">
        <v>0</v>
      </c>
      <c r="M3" s="6" t="b">
        <v>0</v>
      </c>
      <c r="N3" s="6" t="b">
        <v>0</v>
      </c>
      <c r="O3" s="6" t="b">
        <v>0</v>
      </c>
      <c r="P3" s="6" t="b">
        <v>0</v>
      </c>
      <c r="Q3" s="6" t="b">
        <v>0</v>
      </c>
      <c r="R3" s="6" t="b">
        <v>0</v>
      </c>
      <c r="S3" s="6" t="b">
        <v>0</v>
      </c>
      <c r="T3" s="6" t="b">
        <v>0</v>
      </c>
      <c r="U3" s="6" t="b">
        <v>0</v>
      </c>
      <c r="V3" s="6" t="b">
        <v>0</v>
      </c>
      <c r="W3" s="6" t="b">
        <v>0</v>
      </c>
      <c r="X3" s="6" t="b">
        <v>0</v>
      </c>
      <c r="Y3" s="6" t="b">
        <v>0</v>
      </c>
      <c r="Z3" s="6" t="b">
        <v>0</v>
      </c>
      <c r="AA3" s="6" t="b">
        <v>0</v>
      </c>
      <c r="AB3" s="6" t="b">
        <v>0</v>
      </c>
      <c r="AC3" s="6" t="b">
        <v>0</v>
      </c>
      <c r="AD3" s="6" t="b">
        <v>0</v>
      </c>
      <c r="AE3" s="6" t="b">
        <v>0</v>
      </c>
      <c r="AF3" s="6" t="b">
        <v>0</v>
      </c>
      <c r="AG3" s="6" t="b">
        <v>0</v>
      </c>
      <c r="AH3" s="6" t="b">
        <v>0</v>
      </c>
      <c r="AI3" s="6" t="b">
        <v>0</v>
      </c>
      <c r="AJ3" s="6" t="b">
        <v>0</v>
      </c>
      <c r="AK3" s="6" t="b">
        <v>0</v>
      </c>
      <c r="AL3" s="6" t="b">
        <v>0</v>
      </c>
      <c r="AM3" s="6" t="b">
        <v>0</v>
      </c>
      <c r="AN3" s="6" t="b">
        <v>0</v>
      </c>
      <c r="AO3" s="6" t="b">
        <v>0</v>
      </c>
      <c r="AP3" s="6" t="b">
        <v>0</v>
      </c>
      <c r="AQ3" s="6" t="b">
        <v>0</v>
      </c>
      <c r="AR3" s="6" t="b">
        <v>0</v>
      </c>
      <c r="AS3" s="6" t="b">
        <v>0</v>
      </c>
      <c r="AT3" s="6" t="b">
        <v>0</v>
      </c>
      <c r="AU3" s="6" t="b">
        <v>0</v>
      </c>
      <c r="AV3" s="6" t="b">
        <v>0</v>
      </c>
      <c r="AW3" s="6" t="b">
        <v>0</v>
      </c>
      <c r="AX3" s="6" t="b">
        <v>0</v>
      </c>
      <c r="AY3" s="6" t="b">
        <v>0</v>
      </c>
      <c r="AZ3" s="6" t="b">
        <v>0</v>
      </c>
      <c r="BA3" s="6" t="b">
        <v>0</v>
      </c>
      <c r="BB3" s="6" t="b">
        <v>0</v>
      </c>
      <c r="BC3" s="6" t="b">
        <v>0</v>
      </c>
      <c r="BD3" s="6" t="b">
        <v>0</v>
      </c>
      <c r="BE3" s="6" t="b">
        <v>0</v>
      </c>
      <c r="BF3" s="6" t="b">
        <v>0</v>
      </c>
      <c r="BG3" s="6" t="b">
        <v>1</v>
      </c>
      <c r="BH3" s="6" t="b">
        <v>0</v>
      </c>
      <c r="BI3" s="6" t="b">
        <v>0</v>
      </c>
    </row>
    <row r="4" spans="1:61" x14ac:dyDescent="0.25">
      <c r="A4" s="2">
        <v>3</v>
      </c>
      <c r="B4" s="2" t="s">
        <v>244</v>
      </c>
      <c r="C4" s="2" t="s">
        <v>242</v>
      </c>
      <c r="E4" s="2">
        <v>19</v>
      </c>
      <c r="F4" s="2">
        <v>22</v>
      </c>
      <c r="G4" s="2">
        <v>25</v>
      </c>
      <c r="H4" s="2">
        <f>teachers[[#This Row],[Týždenný minimálny úväzok]]*2</f>
        <v>38</v>
      </c>
      <c r="I4" s="2">
        <f>teachers[[#This Row],[Týždenný cieľový úväzok]]*2</f>
        <v>44</v>
      </c>
      <c r="J4" s="2">
        <f>teachers[[#This Row],[Týždenný maximálny úväzok]]*2</f>
        <v>50</v>
      </c>
      <c r="K4" s="2" t="str">
        <f>teachers[[#This Row],[ID]] &amp; " - " &amp; teachers[[#This Row],[Meno a priezvisko]]</f>
        <v>3 - Učiteľ 3</v>
      </c>
      <c r="L4" s="6" t="b">
        <v>1</v>
      </c>
      <c r="M4" s="6" t="b">
        <v>0</v>
      </c>
      <c r="N4" s="6" t="b">
        <v>0</v>
      </c>
      <c r="O4" s="6" t="b">
        <v>0</v>
      </c>
      <c r="P4" s="6" t="b">
        <v>0</v>
      </c>
      <c r="Q4" s="6" t="b">
        <v>0</v>
      </c>
      <c r="R4" s="6" t="b">
        <v>0</v>
      </c>
      <c r="S4" s="6" t="b">
        <v>0</v>
      </c>
      <c r="T4" s="6" t="b">
        <v>0</v>
      </c>
      <c r="U4" s="6" t="b">
        <v>0</v>
      </c>
      <c r="V4" s="6" t="b">
        <v>0</v>
      </c>
      <c r="W4" s="6" t="b">
        <v>0</v>
      </c>
      <c r="X4" s="6" t="b">
        <v>0</v>
      </c>
      <c r="Y4" s="6" t="b">
        <v>0</v>
      </c>
      <c r="Z4" s="6" t="b">
        <v>0</v>
      </c>
      <c r="AA4" s="6" t="b">
        <v>0</v>
      </c>
      <c r="AB4" s="6" t="b">
        <v>0</v>
      </c>
      <c r="AC4" s="6" t="b">
        <v>0</v>
      </c>
      <c r="AD4" s="6" t="b">
        <v>0</v>
      </c>
      <c r="AE4" s="6" t="b">
        <v>0</v>
      </c>
      <c r="AF4" s="6" t="b">
        <v>0</v>
      </c>
      <c r="AG4" s="6" t="b">
        <v>0</v>
      </c>
      <c r="AH4" s="6" t="b">
        <v>0</v>
      </c>
      <c r="AI4" s="6" t="b">
        <v>0</v>
      </c>
      <c r="AJ4" s="6" t="b">
        <v>0</v>
      </c>
      <c r="AK4" s="6" t="b">
        <v>0</v>
      </c>
      <c r="AL4" s="6" t="b">
        <v>1</v>
      </c>
      <c r="AM4" s="6" t="b">
        <v>0</v>
      </c>
      <c r="AN4" s="6" t="b">
        <v>0</v>
      </c>
      <c r="AO4" s="6" t="b">
        <v>0</v>
      </c>
      <c r="AP4" s="6" t="b">
        <v>0</v>
      </c>
      <c r="AQ4" s="6" t="b">
        <v>0</v>
      </c>
      <c r="AR4" s="6" t="b">
        <v>1</v>
      </c>
      <c r="AS4" s="6" t="b">
        <v>0</v>
      </c>
      <c r="AT4" s="6" t="b">
        <v>0</v>
      </c>
      <c r="AU4" s="6" t="b">
        <v>0</v>
      </c>
      <c r="AV4" s="6" t="b">
        <v>0</v>
      </c>
      <c r="AW4" s="6" t="b">
        <v>0</v>
      </c>
      <c r="AX4" s="6" t="b">
        <v>0</v>
      </c>
      <c r="AY4" s="6" t="b">
        <v>0</v>
      </c>
      <c r="AZ4" s="6" t="b">
        <v>0</v>
      </c>
      <c r="BA4" s="6" t="b">
        <v>0</v>
      </c>
      <c r="BB4" s="6" t="b">
        <v>0</v>
      </c>
      <c r="BC4" s="6" t="b">
        <v>0</v>
      </c>
      <c r="BD4" s="6" t="b">
        <v>0</v>
      </c>
      <c r="BE4" s="6" t="b">
        <v>0</v>
      </c>
      <c r="BF4" s="6" t="b">
        <v>0</v>
      </c>
      <c r="BG4" s="6" t="b">
        <v>0</v>
      </c>
      <c r="BH4" s="6" t="b">
        <v>0</v>
      </c>
      <c r="BI4" s="6" t="b">
        <v>0</v>
      </c>
    </row>
    <row r="5" spans="1:61" x14ac:dyDescent="0.25">
      <c r="A5" s="2">
        <v>4</v>
      </c>
      <c r="B5" s="2" t="s">
        <v>245</v>
      </c>
      <c r="E5" s="2">
        <v>2</v>
      </c>
      <c r="F5" s="2">
        <v>4</v>
      </c>
      <c r="G5" s="2">
        <v>10</v>
      </c>
      <c r="H5" s="2">
        <f>teachers[[#This Row],[Týždenný minimálny úväzok]]*2</f>
        <v>4</v>
      </c>
      <c r="I5" s="2">
        <f>teachers[[#This Row],[Týždenný cieľový úväzok]]*2</f>
        <v>8</v>
      </c>
      <c r="J5" s="2">
        <f>teachers[[#This Row],[Týždenný maximálny úväzok]]*2</f>
        <v>20</v>
      </c>
      <c r="K5" s="2" t="str">
        <f>teachers[[#This Row],[ID]] &amp; " - " &amp; teachers[[#This Row],[Meno a priezvisko]]</f>
        <v>4 - Učiteľ 4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  <c r="Q5" s="6" t="b">
        <v>0</v>
      </c>
      <c r="R5" s="6" t="b">
        <v>0</v>
      </c>
      <c r="S5" s="6" t="b">
        <v>0</v>
      </c>
      <c r="T5" s="6" t="b">
        <v>0</v>
      </c>
      <c r="U5" s="6" t="b">
        <v>0</v>
      </c>
      <c r="V5" s="6" t="b">
        <v>0</v>
      </c>
      <c r="W5" s="6" t="b">
        <v>0</v>
      </c>
      <c r="X5" s="6" t="b">
        <v>0</v>
      </c>
      <c r="Y5" s="6" t="b">
        <v>0</v>
      </c>
      <c r="Z5" s="6" t="b">
        <v>0</v>
      </c>
      <c r="AA5" s="6" t="b">
        <v>0</v>
      </c>
      <c r="AB5" s="6" t="b">
        <v>0</v>
      </c>
      <c r="AC5" s="6" t="b">
        <v>0</v>
      </c>
      <c r="AD5" s="6" t="b">
        <v>0</v>
      </c>
      <c r="AE5" s="6" t="b">
        <v>0</v>
      </c>
      <c r="AF5" s="6" t="b">
        <v>0</v>
      </c>
      <c r="AG5" s="6" t="b">
        <v>0</v>
      </c>
      <c r="AH5" s="6" t="b">
        <v>0</v>
      </c>
      <c r="AI5" s="6" t="b">
        <v>0</v>
      </c>
      <c r="AJ5" s="6" t="b">
        <v>0</v>
      </c>
      <c r="AK5" s="6" t="b">
        <v>0</v>
      </c>
      <c r="AL5" s="6" t="b">
        <v>0</v>
      </c>
      <c r="AM5" s="6" t="b">
        <v>1</v>
      </c>
      <c r="AN5" s="6" t="b">
        <v>0</v>
      </c>
      <c r="AO5" s="6" t="b">
        <v>0</v>
      </c>
      <c r="AP5" s="6" t="b">
        <v>0</v>
      </c>
      <c r="AQ5" s="6" t="b">
        <v>0</v>
      </c>
      <c r="AR5" s="6" t="b">
        <v>0</v>
      </c>
      <c r="AS5" s="6" t="b">
        <v>0</v>
      </c>
      <c r="AT5" s="6" t="b">
        <v>0</v>
      </c>
      <c r="AU5" s="6" t="b">
        <v>0</v>
      </c>
      <c r="AV5" s="6" t="b">
        <v>0</v>
      </c>
      <c r="AW5" s="6" t="b">
        <v>0</v>
      </c>
      <c r="AX5" s="6" t="b">
        <v>0</v>
      </c>
      <c r="AY5" s="6" t="b">
        <v>0</v>
      </c>
      <c r="AZ5" s="6" t="b">
        <v>0</v>
      </c>
      <c r="BA5" s="6" t="b">
        <v>0</v>
      </c>
      <c r="BB5" s="6" t="b">
        <v>0</v>
      </c>
      <c r="BC5" s="6" t="b">
        <v>0</v>
      </c>
      <c r="BD5" s="6" t="b">
        <v>0</v>
      </c>
      <c r="BE5" s="6" t="b">
        <v>0</v>
      </c>
      <c r="BF5" s="6" t="b">
        <v>0</v>
      </c>
      <c r="BG5" s="6" t="b">
        <v>0</v>
      </c>
      <c r="BH5" s="6" t="b">
        <v>0</v>
      </c>
      <c r="BI5" s="6" t="b">
        <v>0</v>
      </c>
    </row>
    <row r="6" spans="1:61" x14ac:dyDescent="0.25">
      <c r="A6" s="2">
        <v>5</v>
      </c>
      <c r="B6" s="2" t="s">
        <v>246</v>
      </c>
      <c r="C6" s="2" t="s">
        <v>242</v>
      </c>
      <c r="E6" s="2">
        <v>9</v>
      </c>
      <c r="F6" s="2">
        <v>12</v>
      </c>
      <c r="G6" s="2">
        <v>15</v>
      </c>
      <c r="H6" s="2">
        <f>teachers[[#This Row],[Týždenný minimálny úväzok]]*2</f>
        <v>18</v>
      </c>
      <c r="I6" s="2">
        <f>teachers[[#This Row],[Týždenný cieľový úväzok]]*2</f>
        <v>24</v>
      </c>
      <c r="J6" s="2">
        <f>teachers[[#This Row],[Týždenný maximálny úväzok]]*2</f>
        <v>30</v>
      </c>
      <c r="K6" s="2" t="str">
        <f>teachers[[#This Row],[ID]] &amp; " - " &amp; teachers[[#This Row],[Meno a priezvisko]]</f>
        <v>5 - Učiteľ 5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  <c r="Q6" s="6" t="b">
        <v>0</v>
      </c>
      <c r="R6" s="6" t="b">
        <v>0</v>
      </c>
      <c r="S6" s="6" t="b">
        <v>0</v>
      </c>
      <c r="T6" s="6" t="b">
        <v>0</v>
      </c>
      <c r="U6" s="6" t="b">
        <v>0</v>
      </c>
      <c r="V6" s="6" t="b">
        <v>0</v>
      </c>
      <c r="W6" s="6" t="b">
        <v>0</v>
      </c>
      <c r="X6" s="6" t="b">
        <v>0</v>
      </c>
      <c r="Y6" s="6" t="b">
        <v>0</v>
      </c>
      <c r="Z6" s="6" t="b">
        <v>0</v>
      </c>
      <c r="AA6" s="6" t="b">
        <v>0</v>
      </c>
      <c r="AB6" s="6" t="b">
        <v>0</v>
      </c>
      <c r="AC6" s="6" t="b">
        <v>0</v>
      </c>
      <c r="AD6" s="6" t="b">
        <v>0</v>
      </c>
      <c r="AE6" s="6" t="b">
        <v>0</v>
      </c>
      <c r="AF6" s="6" t="b">
        <v>0</v>
      </c>
      <c r="AG6" s="6" t="b">
        <v>0</v>
      </c>
      <c r="AH6" s="6" t="b">
        <v>0</v>
      </c>
      <c r="AI6" s="6" t="b">
        <v>0</v>
      </c>
      <c r="AJ6" s="6" t="b">
        <v>0</v>
      </c>
      <c r="AK6" s="6" t="b">
        <v>0</v>
      </c>
      <c r="AL6" s="6" t="b">
        <v>0</v>
      </c>
      <c r="AM6" s="6" t="b">
        <v>0</v>
      </c>
      <c r="AN6" s="6" t="b">
        <v>0</v>
      </c>
      <c r="AO6" s="6" t="b">
        <v>1</v>
      </c>
      <c r="AP6" s="6" t="b">
        <v>0</v>
      </c>
      <c r="AQ6" s="6" t="b">
        <v>0</v>
      </c>
      <c r="AR6" s="6" t="b">
        <v>0</v>
      </c>
      <c r="AS6" s="6" t="b">
        <v>0</v>
      </c>
      <c r="AT6" s="6" t="b">
        <v>0</v>
      </c>
      <c r="AU6" s="6" t="b">
        <v>0</v>
      </c>
      <c r="AV6" s="6" t="b">
        <v>0</v>
      </c>
      <c r="AW6" s="6" t="b">
        <v>0</v>
      </c>
      <c r="AX6" s="6" t="b">
        <v>0</v>
      </c>
      <c r="AY6" s="6" t="b">
        <v>0</v>
      </c>
      <c r="AZ6" s="6" t="b">
        <v>0</v>
      </c>
      <c r="BA6" s="6" t="b">
        <v>0</v>
      </c>
      <c r="BB6" s="6" t="b">
        <v>0</v>
      </c>
      <c r="BC6" s="6" t="b">
        <v>0</v>
      </c>
      <c r="BD6" s="6" t="b">
        <v>0</v>
      </c>
      <c r="BE6" s="6" t="b">
        <v>0</v>
      </c>
      <c r="BF6" s="6" t="b">
        <v>0</v>
      </c>
      <c r="BG6" s="6" t="b">
        <v>0</v>
      </c>
      <c r="BH6" s="6" t="b">
        <v>0</v>
      </c>
      <c r="BI6" s="6" t="b">
        <v>0</v>
      </c>
    </row>
    <row r="7" spans="1:61" x14ac:dyDescent="0.25">
      <c r="A7" s="2">
        <v>6</v>
      </c>
      <c r="B7" s="2" t="s">
        <v>247</v>
      </c>
      <c r="C7" s="2" t="s">
        <v>242</v>
      </c>
      <c r="E7" s="2">
        <v>21</v>
      </c>
      <c r="F7" s="2">
        <v>24</v>
      </c>
      <c r="G7" s="2">
        <v>27</v>
      </c>
      <c r="H7" s="2">
        <f>teachers[[#This Row],[Týždenný minimálny úväzok]]*2</f>
        <v>42</v>
      </c>
      <c r="I7" s="2">
        <f>teachers[[#This Row],[Týždenný cieľový úväzok]]*2</f>
        <v>48</v>
      </c>
      <c r="J7" s="2">
        <f>teachers[[#This Row],[Týždenný maximálny úväzok]]*2</f>
        <v>54</v>
      </c>
      <c r="K7" s="2" t="str">
        <f>teachers[[#This Row],[ID]] &amp; " - " &amp; teachers[[#This Row],[Meno a priezvisko]]</f>
        <v>6 - Učiteľ 6</v>
      </c>
      <c r="L7" s="6" t="b">
        <v>0</v>
      </c>
      <c r="M7" s="6" t="b">
        <v>0</v>
      </c>
      <c r="N7" s="6" t="b">
        <v>0</v>
      </c>
      <c r="O7" s="6" t="b">
        <v>0</v>
      </c>
      <c r="P7" s="6" t="b">
        <v>0</v>
      </c>
      <c r="Q7" s="6" t="b">
        <v>0</v>
      </c>
      <c r="R7" s="6" t="b">
        <v>0</v>
      </c>
      <c r="S7" s="6" t="b">
        <v>0</v>
      </c>
      <c r="T7" s="6" t="b">
        <v>0</v>
      </c>
      <c r="U7" s="6" t="b">
        <v>0</v>
      </c>
      <c r="V7" s="6" t="b">
        <v>0</v>
      </c>
      <c r="W7" s="6" t="b">
        <v>0</v>
      </c>
      <c r="X7" s="6" t="b">
        <v>0</v>
      </c>
      <c r="Y7" s="6" t="b">
        <v>0</v>
      </c>
      <c r="Z7" s="6" t="b">
        <v>0</v>
      </c>
      <c r="AA7" s="6" t="b">
        <v>0</v>
      </c>
      <c r="AB7" s="6" t="b">
        <v>0</v>
      </c>
      <c r="AC7" s="6" t="b">
        <v>0</v>
      </c>
      <c r="AD7" s="6" t="b">
        <v>0</v>
      </c>
      <c r="AE7" s="6" t="b">
        <v>0</v>
      </c>
      <c r="AF7" s="6" t="b">
        <v>0</v>
      </c>
      <c r="AG7" s="6" t="b">
        <v>0</v>
      </c>
      <c r="AH7" s="6" t="b">
        <v>0</v>
      </c>
      <c r="AI7" s="6" t="b">
        <v>0</v>
      </c>
      <c r="AJ7" s="6" t="b">
        <v>0</v>
      </c>
      <c r="AK7" s="6" t="b">
        <v>0</v>
      </c>
      <c r="AL7" s="6" t="b">
        <v>0</v>
      </c>
      <c r="AM7" s="6" t="b">
        <v>0</v>
      </c>
      <c r="AN7" s="6" t="b">
        <v>0</v>
      </c>
      <c r="AO7" s="6" t="b">
        <v>0</v>
      </c>
      <c r="AP7" s="6" t="b">
        <v>0</v>
      </c>
      <c r="AQ7" s="6" t="b">
        <v>0</v>
      </c>
      <c r="AR7" s="6" t="b">
        <v>0</v>
      </c>
      <c r="AS7" s="6" t="b">
        <v>0</v>
      </c>
      <c r="AT7" s="6" t="b">
        <v>0</v>
      </c>
      <c r="AU7" s="6" t="b">
        <v>0</v>
      </c>
      <c r="AV7" s="6" t="b">
        <v>0</v>
      </c>
      <c r="AW7" s="6" t="b">
        <v>0</v>
      </c>
      <c r="AX7" s="6" t="b">
        <v>0</v>
      </c>
      <c r="AY7" s="6" t="b">
        <v>0</v>
      </c>
      <c r="AZ7" s="6" t="b">
        <v>1</v>
      </c>
      <c r="BA7" s="6" t="b">
        <v>0</v>
      </c>
      <c r="BB7" s="6" t="b">
        <v>0</v>
      </c>
      <c r="BC7" s="6" t="b">
        <v>0</v>
      </c>
      <c r="BD7" s="6" t="b">
        <v>0</v>
      </c>
      <c r="BE7" s="6" t="b">
        <v>0</v>
      </c>
      <c r="BF7" s="6" t="b">
        <v>0</v>
      </c>
      <c r="BG7" s="6" t="b">
        <v>0</v>
      </c>
      <c r="BH7" s="6" t="b">
        <v>0</v>
      </c>
      <c r="BI7" s="6" t="b">
        <v>0</v>
      </c>
    </row>
    <row r="8" spans="1:61" x14ac:dyDescent="0.25">
      <c r="A8" s="2">
        <v>7</v>
      </c>
      <c r="B8" s="2" t="s">
        <v>248</v>
      </c>
      <c r="C8" s="2" t="s">
        <v>242</v>
      </c>
      <c r="E8" s="2">
        <v>19</v>
      </c>
      <c r="F8" s="2">
        <v>22</v>
      </c>
      <c r="G8" s="2">
        <v>25</v>
      </c>
      <c r="H8" s="2">
        <f>teachers[[#This Row],[Týždenný minimálny úväzok]]*2</f>
        <v>38</v>
      </c>
      <c r="I8" s="2">
        <f>teachers[[#This Row],[Týždenný cieľový úväzok]]*2</f>
        <v>44</v>
      </c>
      <c r="J8" s="2">
        <f>teachers[[#This Row],[Týždenný maximálny úväzok]]*2</f>
        <v>50</v>
      </c>
      <c r="K8" s="2" t="str">
        <f>teachers[[#This Row],[ID]] &amp; " - " &amp; teachers[[#This Row],[Meno a priezvisko]]</f>
        <v>7 - Učiteľ 7</v>
      </c>
      <c r="L8" s="6" t="b">
        <v>0</v>
      </c>
      <c r="M8" s="6" t="b">
        <v>0</v>
      </c>
      <c r="N8" s="6" t="b">
        <v>0</v>
      </c>
      <c r="O8" s="6" t="b">
        <v>0</v>
      </c>
      <c r="P8" s="6" t="b">
        <v>0</v>
      </c>
      <c r="Q8" s="6" t="b">
        <v>0</v>
      </c>
      <c r="R8" s="6" t="b">
        <v>0</v>
      </c>
      <c r="S8" s="6" t="b">
        <v>0</v>
      </c>
      <c r="T8" s="6" t="b">
        <v>0</v>
      </c>
      <c r="U8" s="6" t="b">
        <v>0</v>
      </c>
      <c r="V8" s="6" t="b">
        <v>0</v>
      </c>
      <c r="W8" s="6" t="b">
        <v>0</v>
      </c>
      <c r="X8" s="6" t="b">
        <v>0</v>
      </c>
      <c r="Y8" s="6" t="b">
        <v>0</v>
      </c>
      <c r="Z8" s="6" t="b">
        <v>0</v>
      </c>
      <c r="AA8" s="6" t="b">
        <v>0</v>
      </c>
      <c r="AB8" s="6" t="b">
        <v>0</v>
      </c>
      <c r="AC8" s="6" t="b">
        <v>0</v>
      </c>
      <c r="AD8" s="6" t="b">
        <v>0</v>
      </c>
      <c r="AE8" s="6" t="b">
        <v>0</v>
      </c>
      <c r="AF8" s="6" t="b">
        <v>1</v>
      </c>
      <c r="AG8" s="6" t="b">
        <v>0</v>
      </c>
      <c r="AH8" s="6" t="b">
        <v>0</v>
      </c>
      <c r="AI8" s="6" t="b">
        <v>0</v>
      </c>
      <c r="AJ8" s="6" t="b">
        <v>0</v>
      </c>
      <c r="AK8" s="6" t="b">
        <v>0</v>
      </c>
      <c r="AL8" s="6" t="b">
        <v>0</v>
      </c>
      <c r="AM8" s="6" t="b">
        <v>0</v>
      </c>
      <c r="AN8" s="6" t="b">
        <v>0</v>
      </c>
      <c r="AO8" s="6" t="b">
        <v>0</v>
      </c>
      <c r="AP8" s="6" t="b">
        <v>0</v>
      </c>
      <c r="AQ8" s="6" t="b">
        <v>0</v>
      </c>
      <c r="AR8" s="6" t="b">
        <v>0</v>
      </c>
      <c r="AS8" s="6" t="b">
        <v>0</v>
      </c>
      <c r="AT8" s="6" t="b">
        <v>0</v>
      </c>
      <c r="AU8" s="6" t="b">
        <v>0</v>
      </c>
      <c r="AV8" s="6" t="b">
        <v>0</v>
      </c>
      <c r="AW8" s="6" t="b">
        <v>0</v>
      </c>
      <c r="AX8" s="6" t="b">
        <v>0</v>
      </c>
      <c r="AY8" s="6" t="b">
        <v>0</v>
      </c>
      <c r="AZ8" s="6" t="b">
        <v>1</v>
      </c>
      <c r="BA8" s="6" t="b">
        <v>0</v>
      </c>
      <c r="BB8" s="6" t="b">
        <v>0</v>
      </c>
      <c r="BC8" s="6" t="b">
        <v>0</v>
      </c>
      <c r="BD8" s="6" t="b">
        <v>0</v>
      </c>
      <c r="BE8" s="6" t="b">
        <v>0</v>
      </c>
      <c r="BF8" s="6" t="b">
        <v>0</v>
      </c>
      <c r="BG8" s="6" t="b">
        <v>0</v>
      </c>
      <c r="BH8" s="6" t="b">
        <v>0</v>
      </c>
      <c r="BI8" s="6" t="b">
        <v>0</v>
      </c>
    </row>
    <row r="9" spans="1:61" x14ac:dyDescent="0.25">
      <c r="A9" s="2">
        <v>8</v>
      </c>
      <c r="B9" s="2" t="s">
        <v>249</v>
      </c>
      <c r="C9" s="2" t="s">
        <v>242</v>
      </c>
      <c r="E9" s="2">
        <v>20</v>
      </c>
      <c r="F9" s="2">
        <v>23</v>
      </c>
      <c r="G9" s="2">
        <v>26</v>
      </c>
      <c r="H9" s="2">
        <f>teachers[[#This Row],[Týždenný minimálny úväzok]]*2</f>
        <v>40</v>
      </c>
      <c r="I9" s="2">
        <f>teachers[[#This Row],[Týždenný cieľový úväzok]]*2</f>
        <v>46</v>
      </c>
      <c r="J9" s="2">
        <f>teachers[[#This Row],[Týždenný maximálny úväzok]]*2</f>
        <v>52</v>
      </c>
      <c r="K9" s="2" t="str">
        <f>teachers[[#This Row],[ID]] &amp; " - " &amp; teachers[[#This Row],[Meno a priezvisko]]</f>
        <v>8 - Učiteľ 8</v>
      </c>
      <c r="L9" s="6" t="b">
        <v>0</v>
      </c>
      <c r="M9" s="6" t="b">
        <v>0</v>
      </c>
      <c r="N9" s="6" t="b">
        <v>0</v>
      </c>
      <c r="O9" s="6" t="b">
        <v>0</v>
      </c>
      <c r="P9" s="6" t="b">
        <v>0</v>
      </c>
      <c r="Q9" s="6" t="b">
        <v>0</v>
      </c>
      <c r="R9" s="6" t="b">
        <v>0</v>
      </c>
      <c r="S9" s="6" t="b">
        <v>0</v>
      </c>
      <c r="T9" s="6" t="b">
        <v>0</v>
      </c>
      <c r="U9" s="6" t="b">
        <v>0</v>
      </c>
      <c r="V9" s="6" t="b">
        <v>0</v>
      </c>
      <c r="W9" s="6" t="b">
        <v>0</v>
      </c>
      <c r="X9" s="6" t="b">
        <v>0</v>
      </c>
      <c r="Y9" s="6" t="b">
        <v>0</v>
      </c>
      <c r="Z9" s="6" t="b">
        <v>0</v>
      </c>
      <c r="AA9" s="6" t="b">
        <v>0</v>
      </c>
      <c r="AB9" s="6" t="b">
        <v>0</v>
      </c>
      <c r="AC9" s="6" t="b">
        <v>0</v>
      </c>
      <c r="AD9" s="6" t="b">
        <v>0</v>
      </c>
      <c r="AE9" s="6" t="b">
        <v>0</v>
      </c>
      <c r="AF9" s="6" t="b">
        <v>1</v>
      </c>
      <c r="AG9" s="6" t="b">
        <v>0</v>
      </c>
      <c r="AH9" s="6" t="b">
        <v>0</v>
      </c>
      <c r="AI9" s="6" t="b">
        <v>0</v>
      </c>
      <c r="AJ9" s="6" t="b">
        <v>0</v>
      </c>
      <c r="AK9" s="6" t="b">
        <v>0</v>
      </c>
      <c r="AL9" s="6" t="b">
        <v>0</v>
      </c>
      <c r="AM9" s="6" t="b">
        <v>0</v>
      </c>
      <c r="AN9" s="6" t="b">
        <v>0</v>
      </c>
      <c r="AO9" s="6" t="b">
        <v>0</v>
      </c>
      <c r="AP9" s="6" t="b">
        <v>0</v>
      </c>
      <c r="AQ9" s="6" t="b">
        <v>0</v>
      </c>
      <c r="AR9" s="6" t="b">
        <v>0</v>
      </c>
      <c r="AS9" s="6" t="b">
        <v>0</v>
      </c>
      <c r="AT9" s="6" t="b">
        <v>0</v>
      </c>
      <c r="AU9" s="6" t="b">
        <v>0</v>
      </c>
      <c r="AV9" s="6" t="b">
        <v>0</v>
      </c>
      <c r="AW9" s="6" t="b">
        <v>0</v>
      </c>
      <c r="AX9" s="6" t="b">
        <v>0</v>
      </c>
      <c r="AY9" s="6" t="b">
        <v>0</v>
      </c>
      <c r="AZ9" s="6" t="b">
        <v>0</v>
      </c>
      <c r="BA9" s="6" t="b">
        <v>0</v>
      </c>
      <c r="BB9" s="6" t="b">
        <v>0</v>
      </c>
      <c r="BC9" s="6" t="b">
        <v>0</v>
      </c>
      <c r="BD9" s="6" t="b">
        <v>0</v>
      </c>
      <c r="BE9" s="6" t="b">
        <v>0</v>
      </c>
      <c r="BF9" s="6" t="b">
        <v>0</v>
      </c>
      <c r="BG9" s="6" t="b">
        <v>1</v>
      </c>
      <c r="BH9" s="6" t="b">
        <v>0</v>
      </c>
      <c r="BI9" s="6" t="b">
        <v>0</v>
      </c>
    </row>
    <row r="10" spans="1:61" x14ac:dyDescent="0.25">
      <c r="A10" s="2">
        <v>9</v>
      </c>
      <c r="B10" s="2" t="s">
        <v>250</v>
      </c>
      <c r="C10" s="2" t="s">
        <v>240</v>
      </c>
      <c r="D10" s="2" t="s">
        <v>251</v>
      </c>
      <c r="E10" s="2">
        <v>19</v>
      </c>
      <c r="F10" s="2">
        <v>22</v>
      </c>
      <c r="G10" s="2">
        <v>25</v>
      </c>
      <c r="H10" s="2">
        <f>teachers[[#This Row],[Týždenný minimálny úväzok]]*2</f>
        <v>38</v>
      </c>
      <c r="I10" s="2">
        <f>teachers[[#This Row],[Týždenný cieľový úväzok]]*2</f>
        <v>44</v>
      </c>
      <c r="J10" s="2">
        <f>teachers[[#This Row],[Týždenný maximálny úväzok]]*2</f>
        <v>50</v>
      </c>
      <c r="K10" s="2" t="str">
        <f>teachers[[#This Row],[ID]] &amp; " - " &amp; teachers[[#This Row],[Meno a priezvisko]]</f>
        <v>9 - Učiteľ 9</v>
      </c>
      <c r="L10" s="6" t="b">
        <v>0</v>
      </c>
      <c r="M10" s="6" t="b">
        <v>0</v>
      </c>
      <c r="N10" s="6" t="b">
        <v>0</v>
      </c>
      <c r="O10" s="6" t="b">
        <v>1</v>
      </c>
      <c r="P10" s="6" t="b">
        <v>0</v>
      </c>
      <c r="Q10" s="6" t="b">
        <v>0</v>
      </c>
      <c r="R10" s="6" t="b">
        <v>0</v>
      </c>
      <c r="S10" s="6" t="b">
        <v>0</v>
      </c>
      <c r="T10" s="6" t="b">
        <v>0</v>
      </c>
      <c r="U10" s="6" t="b">
        <v>0</v>
      </c>
      <c r="V10" s="6" t="b">
        <v>1</v>
      </c>
      <c r="W10" s="6" t="b">
        <v>0</v>
      </c>
      <c r="X10" s="6" t="b">
        <v>1</v>
      </c>
      <c r="Y10" s="6" t="b">
        <v>1</v>
      </c>
      <c r="Z10" s="6" t="b">
        <v>0</v>
      </c>
      <c r="AA10" s="6" t="b">
        <v>0</v>
      </c>
      <c r="AB10" s="6" t="b">
        <v>1</v>
      </c>
      <c r="AC10" s="6" t="b">
        <v>0</v>
      </c>
      <c r="AD10" s="6" t="b">
        <v>0</v>
      </c>
      <c r="AE10" s="6" t="b">
        <v>0</v>
      </c>
      <c r="AF10" s="6" t="b">
        <v>0</v>
      </c>
      <c r="AG10" s="6" t="b">
        <v>0</v>
      </c>
      <c r="AH10" s="6" t="b">
        <v>0</v>
      </c>
      <c r="AI10" s="6" t="b">
        <v>0</v>
      </c>
      <c r="AJ10" s="6" t="b">
        <v>0</v>
      </c>
      <c r="AK10" s="6" t="b">
        <v>0</v>
      </c>
      <c r="AL10" s="6" t="b">
        <v>0</v>
      </c>
      <c r="AM10" s="6" t="b">
        <v>0</v>
      </c>
      <c r="AN10" s="6" t="b">
        <v>0</v>
      </c>
      <c r="AO10" s="6" t="b">
        <v>0</v>
      </c>
      <c r="AP10" s="6" t="b">
        <v>0</v>
      </c>
      <c r="AQ10" s="6" t="b">
        <v>0</v>
      </c>
      <c r="AR10" s="6" t="b">
        <v>0</v>
      </c>
      <c r="AS10" s="6" t="b">
        <v>0</v>
      </c>
      <c r="AT10" s="6" t="b">
        <v>0</v>
      </c>
      <c r="AU10" s="6" t="b">
        <v>0</v>
      </c>
      <c r="AV10" s="6" t="b">
        <v>0</v>
      </c>
      <c r="AW10" s="6" t="b">
        <v>0</v>
      </c>
      <c r="AX10" s="6" t="b">
        <v>0</v>
      </c>
      <c r="AY10" s="6" t="b">
        <v>0</v>
      </c>
      <c r="AZ10" s="6" t="b">
        <v>0</v>
      </c>
      <c r="BA10" s="6" t="b">
        <v>0</v>
      </c>
      <c r="BB10" s="6" t="b">
        <v>0</v>
      </c>
      <c r="BC10" s="6" t="b">
        <v>0</v>
      </c>
      <c r="BD10" s="6" t="b">
        <v>0</v>
      </c>
      <c r="BE10" s="6" t="b">
        <v>0</v>
      </c>
      <c r="BF10" s="6" t="b">
        <v>0</v>
      </c>
      <c r="BG10" s="6" t="b">
        <v>0</v>
      </c>
      <c r="BH10" s="6" t="b">
        <v>0</v>
      </c>
      <c r="BI10" s="6" t="b">
        <v>0</v>
      </c>
    </row>
    <row r="11" spans="1:61" x14ac:dyDescent="0.25">
      <c r="A11" s="2">
        <v>10</v>
      </c>
      <c r="B11" s="2" t="s">
        <v>252</v>
      </c>
      <c r="C11" s="2" t="s">
        <v>242</v>
      </c>
      <c r="E11" s="2">
        <v>20</v>
      </c>
      <c r="F11" s="2">
        <v>23</v>
      </c>
      <c r="G11" s="2">
        <v>26</v>
      </c>
      <c r="H11" s="2">
        <f>teachers[[#This Row],[Týždenný minimálny úväzok]]*2</f>
        <v>40</v>
      </c>
      <c r="I11" s="2">
        <f>teachers[[#This Row],[Týždenný cieľový úväzok]]*2</f>
        <v>46</v>
      </c>
      <c r="J11" s="2">
        <f>teachers[[#This Row],[Týždenný maximálny úväzok]]*2</f>
        <v>52</v>
      </c>
      <c r="K11" s="2" t="str">
        <f>teachers[[#This Row],[ID]] &amp; " - " &amp; teachers[[#This Row],[Meno a priezvisko]]</f>
        <v>10 - Učiteľ 10</v>
      </c>
      <c r="L11" s="6" t="b">
        <v>0</v>
      </c>
      <c r="M11" s="6" t="b">
        <v>0</v>
      </c>
      <c r="N11" s="6" t="b">
        <v>0</v>
      </c>
      <c r="O11" s="6" t="b">
        <v>0</v>
      </c>
      <c r="P11" s="6" t="b">
        <v>0</v>
      </c>
      <c r="Q11" s="6" t="b">
        <v>0</v>
      </c>
      <c r="R11" s="6" t="b">
        <v>0</v>
      </c>
      <c r="S11" s="6" t="b">
        <v>0</v>
      </c>
      <c r="T11" s="6" t="b">
        <v>0</v>
      </c>
      <c r="U11" s="6" t="b">
        <v>0</v>
      </c>
      <c r="V11" s="6" t="b">
        <v>0</v>
      </c>
      <c r="W11" s="6" t="b">
        <v>0</v>
      </c>
      <c r="X11" s="6" t="b">
        <v>0</v>
      </c>
      <c r="Y11" s="6" t="b">
        <v>0</v>
      </c>
      <c r="Z11" s="6" t="b">
        <v>0</v>
      </c>
      <c r="AA11" s="6" t="b">
        <v>0</v>
      </c>
      <c r="AB11" s="6" t="b">
        <v>0</v>
      </c>
      <c r="AC11" s="6" t="b">
        <v>0</v>
      </c>
      <c r="AD11" s="6" t="b">
        <v>0</v>
      </c>
      <c r="AE11" s="6" t="b">
        <v>0</v>
      </c>
      <c r="AF11" s="6" t="b">
        <v>1</v>
      </c>
      <c r="AG11" s="6" t="b">
        <v>0</v>
      </c>
      <c r="AH11" s="6" t="b">
        <v>0</v>
      </c>
      <c r="AI11" s="6" t="b">
        <v>0</v>
      </c>
      <c r="AJ11" s="6" t="b">
        <v>0</v>
      </c>
      <c r="AK11" s="6" t="b">
        <v>0</v>
      </c>
      <c r="AL11" s="6" t="b">
        <v>0</v>
      </c>
      <c r="AM11" s="6" t="b">
        <v>0</v>
      </c>
      <c r="AN11" s="6" t="b">
        <v>0</v>
      </c>
      <c r="AO11" s="6" t="b">
        <v>0</v>
      </c>
      <c r="AP11" s="6" t="b">
        <v>1</v>
      </c>
      <c r="AQ11" s="6" t="b">
        <v>0</v>
      </c>
      <c r="AR11" s="6" t="b">
        <v>0</v>
      </c>
      <c r="AS11" s="6" t="b">
        <v>0</v>
      </c>
      <c r="AT11" s="6" t="b">
        <v>0</v>
      </c>
      <c r="AU11" s="6" t="b">
        <v>0</v>
      </c>
      <c r="AV11" s="6" t="b">
        <v>0</v>
      </c>
      <c r="AW11" s="6" t="b">
        <v>0</v>
      </c>
      <c r="AX11" s="6" t="b">
        <v>0</v>
      </c>
      <c r="AY11" s="6" t="b">
        <v>0</v>
      </c>
      <c r="AZ11" s="6" t="b">
        <v>1</v>
      </c>
      <c r="BA11" s="6" t="b">
        <v>0</v>
      </c>
      <c r="BB11" s="6" t="b">
        <v>0</v>
      </c>
      <c r="BC11" s="6" t="b">
        <v>0</v>
      </c>
      <c r="BD11" s="6" t="b">
        <v>0</v>
      </c>
      <c r="BE11" s="6" t="b">
        <v>0</v>
      </c>
      <c r="BF11" s="6" t="b">
        <v>0</v>
      </c>
      <c r="BG11" s="6" t="b">
        <v>0</v>
      </c>
      <c r="BH11" s="6" t="b">
        <v>0</v>
      </c>
      <c r="BI11" s="6" t="b">
        <v>0</v>
      </c>
    </row>
    <row r="12" spans="1:61" x14ac:dyDescent="0.25">
      <c r="A12" s="2">
        <v>11</v>
      </c>
      <c r="B12" s="2" t="s">
        <v>253</v>
      </c>
      <c r="C12" s="2" t="s">
        <v>240</v>
      </c>
      <c r="E12" s="2">
        <v>4.5</v>
      </c>
      <c r="F12" s="2">
        <v>6.5</v>
      </c>
      <c r="G12" s="2">
        <v>10</v>
      </c>
      <c r="H12" s="2">
        <f>teachers[[#This Row],[Týždenný minimálny úväzok]]*2</f>
        <v>9</v>
      </c>
      <c r="I12" s="2">
        <f>teachers[[#This Row],[Týždenný cieľový úväzok]]*2</f>
        <v>13</v>
      </c>
      <c r="J12" s="2">
        <f>teachers[[#This Row],[Týždenný maximálny úväzok]]*2</f>
        <v>20</v>
      </c>
      <c r="K12" s="2" t="str">
        <f>teachers[[#This Row],[ID]] &amp; " - " &amp; teachers[[#This Row],[Meno a priezvisko]]</f>
        <v>11 - Učiteľ 11</v>
      </c>
      <c r="L12" s="6" t="b">
        <v>0</v>
      </c>
      <c r="M12" s="6" t="b">
        <v>0</v>
      </c>
      <c r="N12" s="6" t="b">
        <v>0</v>
      </c>
      <c r="O12" s="6" t="b">
        <v>0</v>
      </c>
      <c r="P12" s="6" t="b">
        <v>0</v>
      </c>
      <c r="Q12" s="6" t="b">
        <v>0</v>
      </c>
      <c r="R12" s="6" t="b">
        <v>0</v>
      </c>
      <c r="S12" s="6" t="b">
        <v>0</v>
      </c>
      <c r="T12" s="6" t="b">
        <v>0</v>
      </c>
      <c r="U12" s="6" t="b">
        <v>0</v>
      </c>
      <c r="V12" s="6" t="b">
        <v>1</v>
      </c>
      <c r="W12" s="6" t="b">
        <v>0</v>
      </c>
      <c r="X12" s="6" t="b">
        <v>0</v>
      </c>
      <c r="Y12" s="6" t="b">
        <v>1</v>
      </c>
      <c r="Z12" s="6" t="b">
        <v>0</v>
      </c>
      <c r="AA12" s="6" t="b">
        <v>0</v>
      </c>
      <c r="AB12" s="6" t="b">
        <v>0</v>
      </c>
      <c r="AC12" s="6" t="b">
        <v>0</v>
      </c>
      <c r="AD12" s="6" t="b">
        <v>0</v>
      </c>
      <c r="AE12" s="6" t="b">
        <v>0</v>
      </c>
      <c r="AF12" s="6" t="b">
        <v>0</v>
      </c>
      <c r="AG12" s="6" t="b">
        <v>0</v>
      </c>
      <c r="AH12" s="6" t="b">
        <v>0</v>
      </c>
      <c r="AI12" s="6" t="b">
        <v>0</v>
      </c>
      <c r="AJ12" s="6" t="b">
        <v>0</v>
      </c>
      <c r="AK12" s="6" t="b">
        <v>0</v>
      </c>
      <c r="AL12" s="6" t="b">
        <v>0</v>
      </c>
      <c r="AM12" s="6" t="b">
        <v>0</v>
      </c>
      <c r="AN12" s="6" t="b">
        <v>0</v>
      </c>
      <c r="AO12" s="6" t="b">
        <v>0</v>
      </c>
      <c r="AP12" s="6" t="b">
        <v>0</v>
      </c>
      <c r="AQ12" s="6" t="b">
        <v>0</v>
      </c>
      <c r="AR12" s="6" t="b">
        <v>0</v>
      </c>
      <c r="AS12" s="6" t="b">
        <v>0</v>
      </c>
      <c r="AT12" s="6" t="b">
        <v>0</v>
      </c>
      <c r="AU12" s="6" t="b">
        <v>0</v>
      </c>
      <c r="AV12" s="6" t="b">
        <v>0</v>
      </c>
      <c r="AW12" s="6" t="b">
        <v>1</v>
      </c>
      <c r="AX12" s="6" t="b">
        <v>0</v>
      </c>
      <c r="AY12" s="6" t="b">
        <v>0</v>
      </c>
      <c r="AZ12" s="6" t="b">
        <v>0</v>
      </c>
      <c r="BA12" s="6" t="b">
        <v>0</v>
      </c>
      <c r="BB12" s="6" t="b">
        <v>0</v>
      </c>
      <c r="BC12" s="6" t="b">
        <v>0</v>
      </c>
      <c r="BD12" s="6" t="b">
        <v>0</v>
      </c>
      <c r="BE12" s="6" t="b">
        <v>0</v>
      </c>
      <c r="BF12" s="6" t="b">
        <v>0</v>
      </c>
      <c r="BG12" s="6" t="b">
        <v>0</v>
      </c>
      <c r="BH12" s="6" t="b">
        <v>0</v>
      </c>
      <c r="BI12" s="6" t="b">
        <v>0</v>
      </c>
    </row>
    <row r="13" spans="1:61" x14ac:dyDescent="0.25">
      <c r="A13" s="2">
        <v>12</v>
      </c>
      <c r="B13" s="2" t="s">
        <v>254</v>
      </c>
      <c r="C13" s="2" t="s">
        <v>242</v>
      </c>
      <c r="E13" s="2">
        <v>4</v>
      </c>
      <c r="F13" s="2">
        <v>6</v>
      </c>
      <c r="G13" s="2">
        <v>10</v>
      </c>
      <c r="H13" s="2">
        <f>teachers[[#This Row],[Týždenný minimálny úväzok]]*2</f>
        <v>8</v>
      </c>
      <c r="I13" s="2">
        <f>teachers[[#This Row],[Týždenný cieľový úväzok]]*2</f>
        <v>12</v>
      </c>
      <c r="J13" s="2">
        <f>teachers[[#This Row],[Týždenný maximálny úväzok]]*2</f>
        <v>20</v>
      </c>
      <c r="K13" s="2" t="str">
        <f>teachers[[#This Row],[ID]] &amp; " - " &amp; teachers[[#This Row],[Meno a priezvisko]]</f>
        <v>12 - Učiteľ 12</v>
      </c>
      <c r="L13" s="6" t="b">
        <v>1</v>
      </c>
      <c r="M13" s="6" t="b">
        <v>0</v>
      </c>
      <c r="N13" s="6" t="b">
        <v>0</v>
      </c>
      <c r="O13" s="6" t="b">
        <v>0</v>
      </c>
      <c r="P13" s="6" t="b">
        <v>0</v>
      </c>
      <c r="Q13" s="6" t="b">
        <v>0</v>
      </c>
      <c r="R13" s="6" t="b">
        <v>0</v>
      </c>
      <c r="S13" s="6" t="b">
        <v>0</v>
      </c>
      <c r="T13" s="6" t="b">
        <v>0</v>
      </c>
      <c r="U13" s="6" t="b">
        <v>0</v>
      </c>
      <c r="V13" s="6" t="b">
        <v>0</v>
      </c>
      <c r="W13" s="6" t="b">
        <v>0</v>
      </c>
      <c r="X13" s="6" t="b">
        <v>0</v>
      </c>
      <c r="Y13" s="6" t="b">
        <v>0</v>
      </c>
      <c r="Z13" s="6" t="b">
        <v>0</v>
      </c>
      <c r="AA13" s="6" t="b">
        <v>0</v>
      </c>
      <c r="AB13" s="6" t="b">
        <v>0</v>
      </c>
      <c r="AC13" s="6" t="b">
        <v>0</v>
      </c>
      <c r="AD13" s="6" t="b">
        <v>0</v>
      </c>
      <c r="AE13" s="6" t="b">
        <v>0</v>
      </c>
      <c r="AF13" s="6" t="b">
        <v>0</v>
      </c>
      <c r="AG13" s="6" t="b">
        <v>0</v>
      </c>
      <c r="AH13" s="6" t="b">
        <v>0</v>
      </c>
      <c r="AI13" s="6" t="b">
        <v>0</v>
      </c>
      <c r="AJ13" s="6" t="b">
        <v>0</v>
      </c>
      <c r="AK13" s="6" t="b">
        <v>0</v>
      </c>
      <c r="AL13" s="6" t="b">
        <v>0</v>
      </c>
      <c r="AM13" s="6" t="b">
        <v>0</v>
      </c>
      <c r="AN13" s="6" t="b">
        <v>0</v>
      </c>
      <c r="AO13" s="6" t="b">
        <v>0</v>
      </c>
      <c r="AP13" s="6" t="b">
        <v>0</v>
      </c>
      <c r="AQ13" s="6" t="b">
        <v>0</v>
      </c>
      <c r="AR13" s="6" t="b">
        <v>0</v>
      </c>
      <c r="AS13" s="6" t="b">
        <v>0</v>
      </c>
      <c r="AT13" s="6" t="b">
        <v>0</v>
      </c>
      <c r="AU13" s="6" t="b">
        <v>0</v>
      </c>
      <c r="AV13" s="6" t="b">
        <v>0</v>
      </c>
      <c r="AW13" s="6" t="b">
        <v>0</v>
      </c>
      <c r="AX13" s="6" t="b">
        <v>0</v>
      </c>
      <c r="AY13" s="6" t="b">
        <v>0</v>
      </c>
      <c r="AZ13" s="6" t="b">
        <v>0</v>
      </c>
      <c r="BA13" s="6" t="b">
        <v>0</v>
      </c>
      <c r="BB13" s="6" t="b">
        <v>0</v>
      </c>
      <c r="BC13" s="6" t="b">
        <v>0</v>
      </c>
      <c r="BD13" s="6" t="b">
        <v>0</v>
      </c>
      <c r="BE13" s="6" t="b">
        <v>0</v>
      </c>
      <c r="BF13" s="6" t="b">
        <v>0</v>
      </c>
      <c r="BG13" s="6" t="b">
        <v>0</v>
      </c>
      <c r="BH13" s="6" t="b">
        <v>0</v>
      </c>
      <c r="BI13" s="6" t="b">
        <v>0</v>
      </c>
    </row>
    <row r="14" spans="1:61" x14ac:dyDescent="0.25">
      <c r="A14" s="2">
        <v>13</v>
      </c>
      <c r="B14" s="2" t="s">
        <v>255</v>
      </c>
      <c r="C14" s="2" t="s">
        <v>240</v>
      </c>
      <c r="E14" s="2">
        <v>21</v>
      </c>
      <c r="F14" s="2">
        <v>24</v>
      </c>
      <c r="G14" s="2">
        <v>27</v>
      </c>
      <c r="H14" s="2">
        <f>teachers[[#This Row],[Týždenný minimálny úväzok]]*2</f>
        <v>42</v>
      </c>
      <c r="I14" s="2">
        <f>teachers[[#This Row],[Týždenný cieľový úväzok]]*2</f>
        <v>48</v>
      </c>
      <c r="J14" s="2">
        <f>teachers[[#This Row],[Týždenný maximálny úväzok]]*2</f>
        <v>54</v>
      </c>
      <c r="K14" s="2" t="str">
        <f>teachers[[#This Row],[ID]] &amp; " - " &amp; teachers[[#This Row],[Meno a priezvisko]]</f>
        <v>13 - Učiteľ 13</v>
      </c>
      <c r="L14" s="6" t="b">
        <v>1</v>
      </c>
      <c r="M14" s="6" t="b">
        <v>0</v>
      </c>
      <c r="N14" s="6" t="b">
        <v>0</v>
      </c>
      <c r="O14" s="6" t="b">
        <v>0</v>
      </c>
      <c r="P14" s="6" t="b">
        <v>0</v>
      </c>
      <c r="Q14" s="6" t="b">
        <v>0</v>
      </c>
      <c r="R14" s="6" t="b">
        <v>0</v>
      </c>
      <c r="S14" s="6" t="b">
        <v>0</v>
      </c>
      <c r="T14" s="6" t="b">
        <v>0</v>
      </c>
      <c r="U14" s="6" t="b">
        <v>1</v>
      </c>
      <c r="V14" s="6" t="b">
        <v>0</v>
      </c>
      <c r="W14" s="6" t="b">
        <v>0</v>
      </c>
      <c r="X14" s="6" t="b">
        <v>0</v>
      </c>
      <c r="Y14" s="6" t="b">
        <v>0</v>
      </c>
      <c r="Z14" s="6" t="b">
        <v>0</v>
      </c>
      <c r="AA14" s="6" t="b">
        <v>0</v>
      </c>
      <c r="AB14" s="6" t="b">
        <v>0</v>
      </c>
      <c r="AC14" s="6" t="b">
        <v>0</v>
      </c>
      <c r="AD14" s="6" t="b">
        <v>0</v>
      </c>
      <c r="AE14" s="6" t="b">
        <v>0</v>
      </c>
      <c r="AF14" s="6" t="b">
        <v>0</v>
      </c>
      <c r="AG14" s="6" t="b">
        <v>0</v>
      </c>
      <c r="AH14" s="6" t="b">
        <v>0</v>
      </c>
      <c r="AI14" s="6" t="b">
        <v>0</v>
      </c>
      <c r="AJ14" s="6" t="b">
        <v>0</v>
      </c>
      <c r="AK14" s="6" t="b">
        <v>0</v>
      </c>
      <c r="AL14" s="6" t="b">
        <v>0</v>
      </c>
      <c r="AM14" s="6" t="b">
        <v>0</v>
      </c>
      <c r="AN14" s="6" t="b">
        <v>0</v>
      </c>
      <c r="AO14" s="6" t="b">
        <v>0</v>
      </c>
      <c r="AP14" s="6" t="b">
        <v>0</v>
      </c>
      <c r="AQ14" s="6" t="b">
        <v>0</v>
      </c>
      <c r="AR14" s="6" t="b">
        <v>0</v>
      </c>
      <c r="AS14" s="6" t="b">
        <v>0</v>
      </c>
      <c r="AT14" s="6" t="b">
        <v>0</v>
      </c>
      <c r="AU14" s="6" t="b">
        <v>0</v>
      </c>
      <c r="AV14" s="6" t="b">
        <v>0</v>
      </c>
      <c r="AW14" s="6" t="b">
        <v>0</v>
      </c>
      <c r="AX14" s="6" t="b">
        <v>0</v>
      </c>
      <c r="AY14" s="6" t="b">
        <v>0</v>
      </c>
      <c r="AZ14" s="6" t="b">
        <v>0</v>
      </c>
      <c r="BA14" s="6" t="b">
        <v>0</v>
      </c>
      <c r="BB14" s="6" t="b">
        <v>0</v>
      </c>
      <c r="BC14" s="6" t="b">
        <v>0</v>
      </c>
      <c r="BD14" s="6" t="b">
        <v>0</v>
      </c>
      <c r="BE14" s="6" t="b">
        <v>0</v>
      </c>
      <c r="BF14" s="6" t="b">
        <v>0</v>
      </c>
      <c r="BG14" s="6" t="b">
        <v>0</v>
      </c>
      <c r="BH14" s="6" t="b">
        <v>1</v>
      </c>
      <c r="BI14" s="6" t="b">
        <v>0</v>
      </c>
    </row>
    <row r="15" spans="1:61" x14ac:dyDescent="0.25">
      <c r="A15" s="2">
        <v>14</v>
      </c>
      <c r="B15" s="2" t="s">
        <v>256</v>
      </c>
      <c r="C15" s="2" t="s">
        <v>240</v>
      </c>
      <c r="E15" s="2">
        <v>19</v>
      </c>
      <c r="F15" s="2">
        <v>22</v>
      </c>
      <c r="G15" s="2">
        <v>25</v>
      </c>
      <c r="H15" s="2">
        <f>teachers[[#This Row],[Týždenný minimálny úväzok]]*2</f>
        <v>38</v>
      </c>
      <c r="I15" s="2">
        <f>teachers[[#This Row],[Týždenný cieľový úväzok]]*2</f>
        <v>44</v>
      </c>
      <c r="J15" s="2">
        <f>teachers[[#This Row],[Týždenný maximálny úväzok]]*2</f>
        <v>50</v>
      </c>
      <c r="K15" s="2" t="str">
        <f>teachers[[#This Row],[ID]] &amp; " - " &amp; teachers[[#This Row],[Meno a priezvisko]]</f>
        <v>14 - Učiteľ 14</v>
      </c>
      <c r="L15" s="6" t="b">
        <v>0</v>
      </c>
      <c r="M15" s="6" t="b">
        <v>0</v>
      </c>
      <c r="N15" s="6" t="b">
        <v>1</v>
      </c>
      <c r="O15" s="6" t="b">
        <v>0</v>
      </c>
      <c r="P15" s="6" t="b">
        <v>0</v>
      </c>
      <c r="Q15" s="6" t="b">
        <v>0</v>
      </c>
      <c r="R15" s="6" t="b">
        <v>0</v>
      </c>
      <c r="S15" s="6" t="b">
        <v>0</v>
      </c>
      <c r="T15" s="6" t="b">
        <v>0</v>
      </c>
      <c r="U15" s="6" t="b">
        <v>0</v>
      </c>
      <c r="V15" s="6" t="b">
        <v>0</v>
      </c>
      <c r="W15" s="6" t="b">
        <v>0</v>
      </c>
      <c r="X15" s="6" t="b">
        <v>0</v>
      </c>
      <c r="Y15" s="6" t="b">
        <v>1</v>
      </c>
      <c r="Z15" s="6" t="b">
        <v>0</v>
      </c>
      <c r="AA15" s="6" t="b">
        <v>0</v>
      </c>
      <c r="AB15" s="6" t="b">
        <v>1</v>
      </c>
      <c r="AC15" s="6" t="b">
        <v>0</v>
      </c>
      <c r="AD15" s="6" t="b">
        <v>0</v>
      </c>
      <c r="AE15" s="6" t="b">
        <v>0</v>
      </c>
      <c r="AF15" s="6" t="b">
        <v>0</v>
      </c>
      <c r="AG15" s="6" t="b">
        <v>0</v>
      </c>
      <c r="AH15" s="6" t="b">
        <v>0</v>
      </c>
      <c r="AI15" s="6" t="b">
        <v>0</v>
      </c>
      <c r="AJ15" s="6" t="b">
        <v>0</v>
      </c>
      <c r="AK15" s="6" t="b">
        <v>1</v>
      </c>
      <c r="AL15" s="6" t="b">
        <v>0</v>
      </c>
      <c r="AM15" s="6" t="b">
        <v>0</v>
      </c>
      <c r="AN15" s="6" t="b">
        <v>0</v>
      </c>
      <c r="AO15" s="6" t="b">
        <v>0</v>
      </c>
      <c r="AP15" s="6" t="b">
        <v>0</v>
      </c>
      <c r="AQ15" s="6" t="b">
        <v>0</v>
      </c>
      <c r="AR15" s="6" t="b">
        <v>0</v>
      </c>
      <c r="AS15" s="6" t="b">
        <v>0</v>
      </c>
      <c r="AT15" s="6" t="b">
        <v>0</v>
      </c>
      <c r="AU15" s="6" t="b">
        <v>0</v>
      </c>
      <c r="AV15" s="6" t="b">
        <v>0</v>
      </c>
      <c r="AW15" s="6" t="b">
        <v>0</v>
      </c>
      <c r="AX15" s="6" t="b">
        <v>0</v>
      </c>
      <c r="AY15" s="6" t="b">
        <v>1</v>
      </c>
      <c r="AZ15" s="6" t="b">
        <v>0</v>
      </c>
      <c r="BA15" s="6" t="b">
        <v>0</v>
      </c>
      <c r="BB15" s="6" t="b">
        <v>0</v>
      </c>
      <c r="BC15" s="6" t="b">
        <v>0</v>
      </c>
      <c r="BD15" s="6" t="b">
        <v>0</v>
      </c>
      <c r="BE15" s="6" t="b">
        <v>0</v>
      </c>
      <c r="BF15" s="6" t="b">
        <v>0</v>
      </c>
      <c r="BG15" s="6" t="b">
        <v>0</v>
      </c>
      <c r="BH15" s="6" t="b">
        <v>0</v>
      </c>
      <c r="BI15" s="6" t="b">
        <v>0</v>
      </c>
    </row>
    <row r="16" spans="1:61" x14ac:dyDescent="0.25">
      <c r="A16" s="2">
        <v>15</v>
      </c>
      <c r="B16" s="2" t="s">
        <v>257</v>
      </c>
      <c r="C16" s="2" t="s">
        <v>242</v>
      </c>
      <c r="E16" s="2">
        <v>18</v>
      </c>
      <c r="F16" s="2">
        <v>21</v>
      </c>
      <c r="G16" s="2">
        <v>24</v>
      </c>
      <c r="H16" s="2">
        <f>teachers[[#This Row],[Týždenný minimálny úväzok]]*2</f>
        <v>36</v>
      </c>
      <c r="I16" s="2">
        <f>teachers[[#This Row],[Týždenný cieľový úväzok]]*2</f>
        <v>42</v>
      </c>
      <c r="J16" s="2">
        <f>teachers[[#This Row],[Týždenný maximálny úväzok]]*2</f>
        <v>48</v>
      </c>
      <c r="K16" s="2" t="str">
        <f>teachers[[#This Row],[ID]] &amp; " - " &amp; teachers[[#This Row],[Meno a priezvisko]]</f>
        <v>15 - Učiteľ 15</v>
      </c>
      <c r="L16" s="6" t="b">
        <v>1</v>
      </c>
      <c r="M16" s="6" t="b">
        <v>0</v>
      </c>
      <c r="N16" s="6" t="b">
        <v>0</v>
      </c>
      <c r="O16" s="6" t="b">
        <v>0</v>
      </c>
      <c r="P16" s="6" t="b">
        <v>0</v>
      </c>
      <c r="Q16" s="6" t="b">
        <v>0</v>
      </c>
      <c r="R16" s="6" t="b">
        <v>0</v>
      </c>
      <c r="S16" s="6" t="b">
        <v>0</v>
      </c>
      <c r="T16" s="6" t="b">
        <v>0</v>
      </c>
      <c r="U16" s="6" t="b">
        <v>0</v>
      </c>
      <c r="V16" s="6" t="b">
        <v>0</v>
      </c>
      <c r="W16" s="6" t="b">
        <v>0</v>
      </c>
      <c r="X16" s="6" t="b">
        <v>0</v>
      </c>
      <c r="Y16" s="6" t="b">
        <v>0</v>
      </c>
      <c r="Z16" s="6" t="b">
        <v>0</v>
      </c>
      <c r="AA16" s="6" t="b">
        <v>0</v>
      </c>
      <c r="AB16" s="6" t="b">
        <v>0</v>
      </c>
      <c r="AC16" s="6" t="b">
        <v>0</v>
      </c>
      <c r="AD16" s="6" t="b">
        <v>0</v>
      </c>
      <c r="AE16" s="6" t="b">
        <v>0</v>
      </c>
      <c r="AF16" s="6" t="b">
        <v>0</v>
      </c>
      <c r="AG16" s="6" t="b">
        <v>0</v>
      </c>
      <c r="AH16" s="6" t="b">
        <v>0</v>
      </c>
      <c r="AI16" s="6" t="b">
        <v>0</v>
      </c>
      <c r="AJ16" s="6" t="b">
        <v>0</v>
      </c>
      <c r="AK16" s="6" t="b">
        <v>0</v>
      </c>
      <c r="AL16" s="6" t="b">
        <v>1</v>
      </c>
      <c r="AM16" s="6" t="b">
        <v>0</v>
      </c>
      <c r="AN16" s="6" t="b">
        <v>0</v>
      </c>
      <c r="AO16" s="6" t="b">
        <v>0</v>
      </c>
      <c r="AP16" s="6" t="b">
        <v>0</v>
      </c>
      <c r="AQ16" s="6" t="b">
        <v>0</v>
      </c>
      <c r="AR16" s="6" t="b">
        <v>0</v>
      </c>
      <c r="AS16" s="6" t="b">
        <v>0</v>
      </c>
      <c r="AT16" s="6" t="b">
        <v>0</v>
      </c>
      <c r="AU16" s="6" t="b">
        <v>0</v>
      </c>
      <c r="AV16" s="6" t="b">
        <v>0</v>
      </c>
      <c r="AW16" s="6" t="b">
        <v>0</v>
      </c>
      <c r="AX16" s="6" t="b">
        <v>0</v>
      </c>
      <c r="AY16" s="6" t="b">
        <v>0</v>
      </c>
      <c r="AZ16" s="6" t="b">
        <v>0</v>
      </c>
      <c r="BA16" s="6" t="b">
        <v>0</v>
      </c>
      <c r="BB16" s="6" t="b">
        <v>0</v>
      </c>
      <c r="BC16" s="6" t="b">
        <v>0</v>
      </c>
      <c r="BD16" s="6" t="b">
        <v>0</v>
      </c>
      <c r="BE16" s="6" t="b">
        <v>0</v>
      </c>
      <c r="BF16" s="6" t="b">
        <v>0</v>
      </c>
      <c r="BG16" s="6" t="b">
        <v>0</v>
      </c>
      <c r="BH16" s="6" t="b">
        <v>0</v>
      </c>
      <c r="BI16" s="6" t="b">
        <v>0</v>
      </c>
    </row>
    <row r="17" spans="1:61" x14ac:dyDescent="0.25">
      <c r="A17" s="2">
        <v>16</v>
      </c>
      <c r="B17" s="2" t="s">
        <v>258</v>
      </c>
      <c r="C17" s="2" t="s">
        <v>240</v>
      </c>
      <c r="E17" s="2">
        <v>20</v>
      </c>
      <c r="F17" s="2">
        <v>23</v>
      </c>
      <c r="G17" s="2">
        <v>26</v>
      </c>
      <c r="H17" s="2">
        <f>teachers[[#This Row],[Týždenný minimálny úväzok]]*2</f>
        <v>40</v>
      </c>
      <c r="I17" s="2">
        <f>teachers[[#This Row],[Týždenný cieľový úväzok]]*2</f>
        <v>46</v>
      </c>
      <c r="J17" s="2">
        <f>teachers[[#This Row],[Týždenný maximálny úväzok]]*2</f>
        <v>52</v>
      </c>
      <c r="K17" s="2" t="str">
        <f>teachers[[#This Row],[ID]] &amp; " - " &amp; teachers[[#This Row],[Meno a priezvisko]]</f>
        <v>16 - Učiteľ 16</v>
      </c>
      <c r="L17" s="6" t="b">
        <v>0</v>
      </c>
      <c r="M17" s="6" t="b">
        <v>0</v>
      </c>
      <c r="N17" s="6" t="b">
        <v>0</v>
      </c>
      <c r="O17" s="6" t="b">
        <v>0</v>
      </c>
      <c r="P17" s="6" t="b">
        <v>1</v>
      </c>
      <c r="Q17" s="6" t="b">
        <v>0</v>
      </c>
      <c r="R17" s="6" t="b">
        <v>0</v>
      </c>
      <c r="S17" s="6" t="b">
        <v>1</v>
      </c>
      <c r="T17" s="6" t="b">
        <v>0</v>
      </c>
      <c r="U17" s="6" t="b">
        <v>0</v>
      </c>
      <c r="V17" s="6" t="b">
        <v>0</v>
      </c>
      <c r="W17" s="6" t="b">
        <v>0</v>
      </c>
      <c r="X17" s="6" t="b">
        <v>0</v>
      </c>
      <c r="Y17" s="6" t="b">
        <v>0</v>
      </c>
      <c r="Z17" s="6" t="b">
        <v>1</v>
      </c>
      <c r="AA17" s="6" t="b">
        <v>0</v>
      </c>
      <c r="AB17" s="6" t="b">
        <v>0</v>
      </c>
      <c r="AC17" s="6" t="b">
        <v>0</v>
      </c>
      <c r="AD17" s="6" t="b">
        <v>0</v>
      </c>
      <c r="AE17" s="6" t="b">
        <v>0</v>
      </c>
      <c r="AF17" s="6" t="b">
        <v>0</v>
      </c>
      <c r="AG17" s="6" t="b">
        <v>0</v>
      </c>
      <c r="AH17" s="6" t="b">
        <v>1</v>
      </c>
      <c r="AI17" s="6" t="b">
        <v>0</v>
      </c>
      <c r="AJ17" s="6" t="b">
        <v>0</v>
      </c>
      <c r="AK17" s="6" t="b">
        <v>1</v>
      </c>
      <c r="AL17" s="6" t="b">
        <v>0</v>
      </c>
      <c r="AM17" s="6" t="b">
        <v>0</v>
      </c>
      <c r="AN17" s="6" t="b">
        <v>1</v>
      </c>
      <c r="AO17" s="6" t="b">
        <v>0</v>
      </c>
      <c r="AP17" s="6" t="b">
        <v>0</v>
      </c>
      <c r="AQ17" s="6" t="b">
        <v>0</v>
      </c>
      <c r="AR17" s="6" t="b">
        <v>0</v>
      </c>
      <c r="AS17" s="6" t="b">
        <v>0</v>
      </c>
      <c r="AT17" s="6" t="b">
        <v>0</v>
      </c>
      <c r="AU17" s="6" t="b">
        <v>1</v>
      </c>
      <c r="AV17" s="6" t="b">
        <v>0</v>
      </c>
      <c r="AW17" s="6" t="b">
        <v>0</v>
      </c>
      <c r="AX17" s="6" t="b">
        <v>0</v>
      </c>
      <c r="AY17" s="6" t="b">
        <v>0</v>
      </c>
      <c r="AZ17" s="6" t="b">
        <v>0</v>
      </c>
      <c r="BA17" s="6" t="b">
        <v>0</v>
      </c>
      <c r="BB17" s="6" t="b">
        <v>1</v>
      </c>
      <c r="BC17" s="6" t="b">
        <v>0</v>
      </c>
      <c r="BD17" s="6" t="b">
        <v>0</v>
      </c>
      <c r="BE17" s="6" t="b">
        <v>1</v>
      </c>
      <c r="BF17" s="6" t="b">
        <v>0</v>
      </c>
      <c r="BG17" s="6" t="b">
        <v>0</v>
      </c>
      <c r="BH17" s="6" t="b">
        <v>0</v>
      </c>
      <c r="BI17" s="6" t="b">
        <v>0</v>
      </c>
    </row>
    <row r="18" spans="1:61" x14ac:dyDescent="0.25">
      <c r="A18" s="2">
        <v>17</v>
      </c>
      <c r="B18" s="2" t="s">
        <v>259</v>
      </c>
      <c r="C18" s="2" t="s">
        <v>240</v>
      </c>
      <c r="E18" s="2">
        <v>20</v>
      </c>
      <c r="F18" s="2">
        <v>23</v>
      </c>
      <c r="G18" s="2">
        <v>26</v>
      </c>
      <c r="H18" s="2">
        <f>teachers[[#This Row],[Týždenný minimálny úväzok]]*2</f>
        <v>40</v>
      </c>
      <c r="I18" s="2">
        <f>teachers[[#This Row],[Týždenný cieľový úväzok]]*2</f>
        <v>46</v>
      </c>
      <c r="J18" s="2">
        <f>teachers[[#This Row],[Týždenný maximálny úväzok]]*2</f>
        <v>52</v>
      </c>
      <c r="K18" s="2" t="str">
        <f>teachers[[#This Row],[ID]] &amp; " - " &amp; teachers[[#This Row],[Meno a priezvisko]]</f>
        <v>17 - Učiteľ 17</v>
      </c>
      <c r="L18" s="6" t="b">
        <v>0</v>
      </c>
      <c r="M18" s="6" t="b">
        <v>0</v>
      </c>
      <c r="N18" s="6" t="b">
        <v>0</v>
      </c>
      <c r="O18" s="6" t="b">
        <v>0</v>
      </c>
      <c r="P18" s="6" t="b">
        <v>1</v>
      </c>
      <c r="Q18" s="6" t="b">
        <v>1</v>
      </c>
      <c r="R18" s="6" t="b">
        <v>0</v>
      </c>
      <c r="S18" s="6" t="b">
        <v>1</v>
      </c>
      <c r="T18" s="6" t="b">
        <v>0</v>
      </c>
      <c r="U18" s="6" t="b">
        <v>0</v>
      </c>
      <c r="V18" s="6" t="b">
        <v>0</v>
      </c>
      <c r="W18" s="6" t="b">
        <v>0</v>
      </c>
      <c r="X18" s="6" t="b">
        <v>0</v>
      </c>
      <c r="Y18" s="6" t="b">
        <v>0</v>
      </c>
      <c r="Z18" s="6" t="b">
        <v>0</v>
      </c>
      <c r="AA18" s="6" t="b">
        <v>0</v>
      </c>
      <c r="AB18" s="6" t="b">
        <v>0</v>
      </c>
      <c r="AC18" s="6" t="b">
        <v>0</v>
      </c>
      <c r="AD18" s="6" t="b">
        <v>0</v>
      </c>
      <c r="AE18" s="6" t="b">
        <v>0</v>
      </c>
      <c r="AF18" s="6" t="b">
        <v>1</v>
      </c>
      <c r="AG18" s="6" t="b">
        <v>0</v>
      </c>
      <c r="AH18" s="6" t="b">
        <v>0</v>
      </c>
      <c r="AI18" s="6" t="b">
        <v>0</v>
      </c>
      <c r="AJ18" s="6" t="b">
        <v>0</v>
      </c>
      <c r="AK18" s="6" t="b">
        <v>0</v>
      </c>
      <c r="AL18" s="6" t="b">
        <v>0</v>
      </c>
      <c r="AM18" s="6" t="b">
        <v>0</v>
      </c>
      <c r="AN18" s="6" t="b">
        <v>0</v>
      </c>
      <c r="AO18" s="6" t="b">
        <v>0</v>
      </c>
      <c r="AP18" s="6" t="b">
        <v>0</v>
      </c>
      <c r="AQ18" s="6" t="b">
        <v>0</v>
      </c>
      <c r="AR18" s="6" t="b">
        <v>0</v>
      </c>
      <c r="AS18" s="6" t="b">
        <v>0</v>
      </c>
      <c r="AT18" s="6" t="b">
        <v>0</v>
      </c>
      <c r="AU18" s="6" t="b">
        <v>0</v>
      </c>
      <c r="AV18" s="6" t="b">
        <v>0</v>
      </c>
      <c r="AW18" s="6" t="b">
        <v>0</v>
      </c>
      <c r="AX18" s="6" t="b">
        <v>0</v>
      </c>
      <c r="AY18" s="6" t="b">
        <v>0</v>
      </c>
      <c r="AZ18" s="6" t="b">
        <v>0</v>
      </c>
      <c r="BA18" s="6" t="b">
        <v>1</v>
      </c>
      <c r="BB18" s="6" t="b">
        <v>1</v>
      </c>
      <c r="BC18" s="6" t="b">
        <v>1</v>
      </c>
      <c r="BD18" s="6" t="b">
        <v>1</v>
      </c>
      <c r="BE18" s="6" t="b">
        <v>1</v>
      </c>
      <c r="BF18" s="6" t="b">
        <v>0</v>
      </c>
      <c r="BG18" s="6" t="b">
        <v>0</v>
      </c>
      <c r="BH18" s="6" t="b">
        <v>0</v>
      </c>
      <c r="BI18" s="6" t="b">
        <v>0</v>
      </c>
    </row>
    <row r="19" spans="1:61" x14ac:dyDescent="0.25">
      <c r="A19" s="2">
        <v>18</v>
      </c>
      <c r="B19" s="2" t="s">
        <v>260</v>
      </c>
      <c r="C19" s="2" t="s">
        <v>240</v>
      </c>
      <c r="E19" s="2">
        <v>18</v>
      </c>
      <c r="F19" s="2">
        <v>21</v>
      </c>
      <c r="G19" s="2">
        <v>24</v>
      </c>
      <c r="H19" s="2">
        <f>teachers[[#This Row],[Týždenný minimálny úväzok]]*2</f>
        <v>36</v>
      </c>
      <c r="I19" s="2">
        <f>teachers[[#This Row],[Týždenný cieľový úväzok]]*2</f>
        <v>42</v>
      </c>
      <c r="J19" s="2">
        <f>teachers[[#This Row],[Týždenný maximálny úväzok]]*2</f>
        <v>48</v>
      </c>
      <c r="K19" s="2" t="str">
        <f>teachers[[#This Row],[ID]] &amp; " - " &amp; teachers[[#This Row],[Meno a priezvisko]]</f>
        <v>18 - Učiteľ 18</v>
      </c>
      <c r="L19" s="6" t="b">
        <v>0</v>
      </c>
      <c r="M19" s="6" t="b">
        <v>1</v>
      </c>
      <c r="N19" s="6" t="b">
        <v>0</v>
      </c>
      <c r="O19" s="6" t="b">
        <v>0</v>
      </c>
      <c r="P19" s="6" t="b">
        <v>0</v>
      </c>
      <c r="Q19" s="6" t="b">
        <v>0</v>
      </c>
      <c r="R19" s="6" t="b">
        <v>0</v>
      </c>
      <c r="S19" s="6" t="b">
        <v>0</v>
      </c>
      <c r="T19" s="6" t="b">
        <v>0</v>
      </c>
      <c r="U19" s="6" t="b">
        <v>0</v>
      </c>
      <c r="V19" s="6" t="b">
        <v>0</v>
      </c>
      <c r="W19" s="6" t="b">
        <v>0</v>
      </c>
      <c r="X19" s="6" t="b">
        <v>0</v>
      </c>
      <c r="Y19" s="6" t="b">
        <v>0</v>
      </c>
      <c r="Z19" s="6" t="b">
        <v>0</v>
      </c>
      <c r="AA19" s="6" t="b">
        <v>0</v>
      </c>
      <c r="AB19" s="6" t="b">
        <v>0</v>
      </c>
      <c r="AC19" s="6" t="b">
        <v>0</v>
      </c>
      <c r="AD19" s="6" t="b">
        <v>0</v>
      </c>
      <c r="AE19" s="6" t="b">
        <v>1</v>
      </c>
      <c r="AF19" s="6" t="b">
        <v>0</v>
      </c>
      <c r="AG19" s="6" t="b">
        <v>0</v>
      </c>
      <c r="AH19" s="6" t="b">
        <v>0</v>
      </c>
      <c r="AI19" s="6" t="b">
        <v>1</v>
      </c>
      <c r="AJ19" s="6" t="b">
        <v>1</v>
      </c>
      <c r="AK19" s="6" t="b">
        <v>0</v>
      </c>
      <c r="AL19" s="6" t="b">
        <v>0</v>
      </c>
      <c r="AM19" s="6" t="b">
        <v>0</v>
      </c>
      <c r="AN19" s="6" t="b">
        <v>0</v>
      </c>
      <c r="AO19" s="6" t="b">
        <v>0</v>
      </c>
      <c r="AP19" s="6" t="b">
        <v>0</v>
      </c>
      <c r="AQ19" s="6" t="b">
        <v>0</v>
      </c>
      <c r="AR19" s="6" t="b">
        <v>1</v>
      </c>
      <c r="AS19" s="6" t="b">
        <v>0</v>
      </c>
      <c r="AT19" s="6" t="b">
        <v>0</v>
      </c>
      <c r="AU19" s="6" t="b">
        <v>0</v>
      </c>
      <c r="AV19" s="6" t="b">
        <v>0</v>
      </c>
      <c r="AW19" s="6" t="b">
        <v>1</v>
      </c>
      <c r="AX19" s="6" t="b">
        <v>0</v>
      </c>
      <c r="AY19" s="6" t="b">
        <v>0</v>
      </c>
      <c r="AZ19" s="6" t="b">
        <v>0</v>
      </c>
      <c r="BA19" s="6" t="b">
        <v>0</v>
      </c>
      <c r="BB19" s="6" t="b">
        <v>0</v>
      </c>
      <c r="BC19" s="6" t="b">
        <v>0</v>
      </c>
      <c r="BD19" s="6" t="b">
        <v>0</v>
      </c>
      <c r="BE19" s="6" t="b">
        <v>0</v>
      </c>
      <c r="BF19" s="6" t="b">
        <v>0</v>
      </c>
      <c r="BG19" s="6" t="b">
        <v>0</v>
      </c>
      <c r="BH19" s="6" t="b">
        <v>0</v>
      </c>
      <c r="BI19" s="6" t="b">
        <v>0</v>
      </c>
    </row>
    <row r="20" spans="1:61" x14ac:dyDescent="0.25">
      <c r="A20" s="2">
        <v>19</v>
      </c>
      <c r="B20" s="2" t="s">
        <v>261</v>
      </c>
      <c r="C20" s="2" t="s">
        <v>240</v>
      </c>
      <c r="E20" s="2">
        <v>4.5</v>
      </c>
      <c r="F20" s="2">
        <v>6.5</v>
      </c>
      <c r="G20" s="2">
        <v>10</v>
      </c>
      <c r="H20" s="2">
        <f>teachers[[#This Row],[Týždenný minimálny úväzok]]*2</f>
        <v>9</v>
      </c>
      <c r="I20" s="2">
        <f>teachers[[#This Row],[Týždenný cieľový úväzok]]*2</f>
        <v>13</v>
      </c>
      <c r="J20" s="2">
        <f>teachers[[#This Row],[Týždenný maximálny úväzok]]*2</f>
        <v>20</v>
      </c>
      <c r="K20" s="2" t="str">
        <f>teachers[[#This Row],[ID]] &amp; " - " &amp; teachers[[#This Row],[Meno a priezvisko]]</f>
        <v>19 - Učiteľ 19</v>
      </c>
      <c r="L20" s="6" t="b">
        <v>0</v>
      </c>
      <c r="M20" s="6" t="b">
        <v>0</v>
      </c>
      <c r="N20" s="6" t="b">
        <v>0</v>
      </c>
      <c r="O20" s="6" t="b">
        <v>0</v>
      </c>
      <c r="P20" s="6" t="b">
        <v>0</v>
      </c>
      <c r="Q20" s="6" t="b">
        <v>0</v>
      </c>
      <c r="R20" s="6" t="b">
        <v>0</v>
      </c>
      <c r="S20" s="6" t="b">
        <v>0</v>
      </c>
      <c r="T20" s="6" t="b">
        <v>0</v>
      </c>
      <c r="U20" s="6" t="b">
        <v>0</v>
      </c>
      <c r="V20" s="6" t="b">
        <v>0</v>
      </c>
      <c r="W20" s="6" t="b">
        <v>0</v>
      </c>
      <c r="X20" s="6" t="b">
        <v>0</v>
      </c>
      <c r="Y20" s="6" t="b">
        <v>0</v>
      </c>
      <c r="Z20" s="6" t="b">
        <v>0</v>
      </c>
      <c r="AA20" s="6" t="b">
        <v>0</v>
      </c>
      <c r="AB20" s="6" t="b">
        <v>0</v>
      </c>
      <c r="AC20" s="6" t="b">
        <v>0</v>
      </c>
      <c r="AD20" s="6" t="b">
        <v>0</v>
      </c>
      <c r="AE20" s="6" t="b">
        <v>0</v>
      </c>
      <c r="AF20" s="6" t="b">
        <v>0</v>
      </c>
      <c r="AG20" s="6" t="b">
        <v>0</v>
      </c>
      <c r="AH20" s="6" t="b">
        <v>0</v>
      </c>
      <c r="AI20" s="6" t="b">
        <v>0</v>
      </c>
      <c r="AJ20" s="6" t="b">
        <v>0</v>
      </c>
      <c r="AK20" s="6" t="b">
        <v>0</v>
      </c>
      <c r="AL20" s="6" t="b">
        <v>0</v>
      </c>
      <c r="AM20" s="6" t="b">
        <v>0</v>
      </c>
      <c r="AN20" s="6" t="b">
        <v>1</v>
      </c>
      <c r="AO20" s="6" t="b">
        <v>0</v>
      </c>
      <c r="AP20" s="6" t="b">
        <v>0</v>
      </c>
      <c r="AQ20" s="6" t="b">
        <v>0</v>
      </c>
      <c r="AR20" s="6" t="b">
        <v>0</v>
      </c>
      <c r="AS20" s="6" t="b">
        <v>0</v>
      </c>
      <c r="AT20" s="6" t="b">
        <v>0</v>
      </c>
      <c r="AU20" s="6" t="b">
        <v>0</v>
      </c>
      <c r="AV20" s="6" t="b">
        <v>0</v>
      </c>
      <c r="AW20" s="6" t="b">
        <v>0</v>
      </c>
      <c r="AX20" s="6" t="b">
        <v>0</v>
      </c>
      <c r="AY20" s="6" t="b">
        <v>0</v>
      </c>
      <c r="AZ20" s="6" t="b">
        <v>0</v>
      </c>
      <c r="BA20" s="6" t="b">
        <v>0</v>
      </c>
      <c r="BB20" s="6" t="b">
        <v>0</v>
      </c>
      <c r="BC20" s="6" t="b">
        <v>0</v>
      </c>
      <c r="BD20" s="6" t="b">
        <v>0</v>
      </c>
      <c r="BE20" s="6" t="b">
        <v>0</v>
      </c>
      <c r="BF20" s="6" t="b">
        <v>0</v>
      </c>
      <c r="BG20" s="6" t="b">
        <v>0</v>
      </c>
      <c r="BH20" s="6" t="b">
        <v>0</v>
      </c>
      <c r="BI20" s="6" t="b">
        <v>0</v>
      </c>
    </row>
    <row r="21" spans="1:61" x14ac:dyDescent="0.25">
      <c r="A21" s="2">
        <v>20</v>
      </c>
      <c r="B21" s="2" t="s">
        <v>262</v>
      </c>
      <c r="C21" s="2" t="s">
        <v>242</v>
      </c>
      <c r="E21" s="2">
        <v>21</v>
      </c>
      <c r="F21" s="2">
        <v>24</v>
      </c>
      <c r="G21" s="2">
        <v>27</v>
      </c>
      <c r="H21" s="2">
        <f>teachers[[#This Row],[Týždenný minimálny úväzok]]*2</f>
        <v>42</v>
      </c>
      <c r="I21" s="2">
        <f>teachers[[#This Row],[Týždenný cieľový úväzok]]*2</f>
        <v>48</v>
      </c>
      <c r="J21" s="2">
        <f>teachers[[#This Row],[Týždenný maximálny úväzok]]*2</f>
        <v>54</v>
      </c>
      <c r="K21" s="2" t="str">
        <f>teachers[[#This Row],[ID]] &amp; " - " &amp; teachers[[#This Row],[Meno a priezvisko]]</f>
        <v>20 - Učiteľ 20</v>
      </c>
      <c r="L21" s="6" t="b">
        <v>1</v>
      </c>
      <c r="M21" s="6" t="b">
        <v>0</v>
      </c>
      <c r="N21" s="6" t="b">
        <v>0</v>
      </c>
      <c r="O21" s="6" t="b">
        <v>0</v>
      </c>
      <c r="P21" s="6" t="b">
        <v>0</v>
      </c>
      <c r="Q21" s="6" t="b">
        <v>0</v>
      </c>
      <c r="R21" s="6" t="b">
        <v>0</v>
      </c>
      <c r="S21" s="6" t="b">
        <v>0</v>
      </c>
      <c r="T21" s="6" t="b">
        <v>0</v>
      </c>
      <c r="U21" s="6" t="b">
        <v>0</v>
      </c>
      <c r="V21" s="6" t="b">
        <v>0</v>
      </c>
      <c r="W21" s="6" t="b">
        <v>0</v>
      </c>
      <c r="X21" s="6" t="b">
        <v>0</v>
      </c>
      <c r="Y21" s="6" t="b">
        <v>0</v>
      </c>
      <c r="Z21" s="6" t="b">
        <v>0</v>
      </c>
      <c r="AA21" s="6" t="b">
        <v>0</v>
      </c>
      <c r="AB21" s="6" t="b">
        <v>0</v>
      </c>
      <c r="AC21" s="6" t="b">
        <v>0</v>
      </c>
      <c r="AD21" s="6" t="b">
        <v>0</v>
      </c>
      <c r="AE21" s="6" t="b">
        <v>0</v>
      </c>
      <c r="AF21" s="6" t="b">
        <v>0</v>
      </c>
      <c r="AG21" s="6" t="b">
        <v>0</v>
      </c>
      <c r="AH21" s="6" t="b">
        <v>0</v>
      </c>
      <c r="AI21" s="6" t="b">
        <v>0</v>
      </c>
      <c r="AJ21" s="6" t="b">
        <v>0</v>
      </c>
      <c r="AK21" s="6" t="b">
        <v>1</v>
      </c>
      <c r="AL21" s="6" t="b">
        <v>0</v>
      </c>
      <c r="AM21" s="6" t="b">
        <v>1</v>
      </c>
      <c r="AN21" s="6" t="b">
        <v>0</v>
      </c>
      <c r="AO21" s="6" t="b">
        <v>0</v>
      </c>
      <c r="AP21" s="6" t="b">
        <v>0</v>
      </c>
      <c r="AQ21" s="6" t="b">
        <v>0</v>
      </c>
      <c r="AR21" s="6" t="b">
        <v>0</v>
      </c>
      <c r="AS21" s="6" t="b">
        <v>0</v>
      </c>
      <c r="AT21" s="6" t="b">
        <v>0</v>
      </c>
      <c r="AU21" s="6" t="b">
        <v>0</v>
      </c>
      <c r="AV21" s="6" t="b">
        <v>0</v>
      </c>
      <c r="AW21" s="6" t="b">
        <v>0</v>
      </c>
      <c r="AX21" s="6" t="b">
        <v>0</v>
      </c>
      <c r="AY21" s="6" t="b">
        <v>1</v>
      </c>
      <c r="AZ21" s="6" t="b">
        <v>0</v>
      </c>
      <c r="BA21" s="6" t="b">
        <v>0</v>
      </c>
      <c r="BB21" s="6" t="b">
        <v>0</v>
      </c>
      <c r="BC21" s="6" t="b">
        <v>0</v>
      </c>
      <c r="BD21" s="6" t="b">
        <v>0</v>
      </c>
      <c r="BE21" s="6" t="b">
        <v>0</v>
      </c>
      <c r="BF21" s="6" t="b">
        <v>0</v>
      </c>
      <c r="BG21" s="6" t="b">
        <v>0</v>
      </c>
      <c r="BH21" s="6" t="b">
        <v>0</v>
      </c>
      <c r="BI21" s="6" t="b">
        <v>0</v>
      </c>
    </row>
    <row r="22" spans="1:61" x14ac:dyDescent="0.25">
      <c r="A22" s="2">
        <v>21</v>
      </c>
      <c r="B22" s="2" t="s">
        <v>263</v>
      </c>
      <c r="C22" s="2" t="s">
        <v>240</v>
      </c>
      <c r="E22" s="2">
        <v>19.5</v>
      </c>
      <c r="F22" s="2">
        <v>22.5</v>
      </c>
      <c r="G22" s="2">
        <v>25.5</v>
      </c>
      <c r="H22" s="2">
        <f>teachers[[#This Row],[Týždenný minimálny úväzok]]*2</f>
        <v>39</v>
      </c>
      <c r="I22" s="2">
        <f>teachers[[#This Row],[Týždenný cieľový úväzok]]*2</f>
        <v>45</v>
      </c>
      <c r="J22" s="2">
        <f>teachers[[#This Row],[Týždenný maximálny úväzok]]*2</f>
        <v>51</v>
      </c>
      <c r="K22" s="2" t="str">
        <f>teachers[[#This Row],[ID]] &amp; " - " &amp; teachers[[#This Row],[Meno a priezvisko]]</f>
        <v>21 - Učiteľ 21</v>
      </c>
      <c r="L22" s="6" t="b">
        <v>0</v>
      </c>
      <c r="M22" s="6" t="b">
        <v>0</v>
      </c>
      <c r="N22" s="6" t="b">
        <v>0</v>
      </c>
      <c r="O22" s="6" t="b">
        <v>1</v>
      </c>
      <c r="P22" s="6" t="b">
        <v>0</v>
      </c>
      <c r="Q22" s="6" t="b">
        <v>0</v>
      </c>
      <c r="R22" s="6" t="b">
        <v>0</v>
      </c>
      <c r="S22" s="6" t="b">
        <v>0</v>
      </c>
      <c r="T22" s="6" t="b">
        <v>0</v>
      </c>
      <c r="U22" s="6" t="b">
        <v>0</v>
      </c>
      <c r="V22" s="6" t="b">
        <v>0</v>
      </c>
      <c r="W22" s="6" t="b">
        <v>0</v>
      </c>
      <c r="X22" s="6" t="b">
        <v>0</v>
      </c>
      <c r="Y22" s="6" t="b">
        <v>0</v>
      </c>
      <c r="Z22" s="6" t="b">
        <v>0</v>
      </c>
      <c r="AA22" s="6" t="b">
        <v>0</v>
      </c>
      <c r="AB22" s="6" t="b">
        <v>1</v>
      </c>
      <c r="AC22" s="6" t="b">
        <v>0</v>
      </c>
      <c r="AD22" s="6" t="b">
        <v>0</v>
      </c>
      <c r="AE22" s="6" t="b">
        <v>0</v>
      </c>
      <c r="AF22" s="6" t="b">
        <v>0</v>
      </c>
      <c r="AG22" s="6" t="b">
        <v>0</v>
      </c>
      <c r="AH22" s="6" t="b">
        <v>0</v>
      </c>
      <c r="AI22" s="6" t="b">
        <v>0</v>
      </c>
      <c r="AJ22" s="6" t="b">
        <v>0</v>
      </c>
      <c r="AK22" s="6" t="b">
        <v>0</v>
      </c>
      <c r="AL22" s="6" t="b">
        <v>0</v>
      </c>
      <c r="AM22" s="6" t="b">
        <v>0</v>
      </c>
      <c r="AN22" s="6" t="b">
        <v>1</v>
      </c>
      <c r="AO22" s="6" t="b">
        <v>0</v>
      </c>
      <c r="AP22" s="6" t="b">
        <v>0</v>
      </c>
      <c r="AQ22" s="6" t="b">
        <v>0</v>
      </c>
      <c r="AR22" s="6" t="b">
        <v>0</v>
      </c>
      <c r="AS22" s="6" t="b">
        <v>0</v>
      </c>
      <c r="AT22" s="6" t="b">
        <v>0</v>
      </c>
      <c r="AU22" s="6" t="b">
        <v>0</v>
      </c>
      <c r="AV22" s="6" t="b">
        <v>1</v>
      </c>
      <c r="AW22" s="6" t="b">
        <v>0</v>
      </c>
      <c r="AX22" s="6" t="b">
        <v>0</v>
      </c>
      <c r="AY22" s="6" t="b">
        <v>0</v>
      </c>
      <c r="AZ22" s="6" t="b">
        <v>0</v>
      </c>
      <c r="BA22" s="6" t="b">
        <v>0</v>
      </c>
      <c r="BB22" s="6" t="b">
        <v>0</v>
      </c>
      <c r="BC22" s="6" t="b">
        <v>0</v>
      </c>
      <c r="BD22" s="6" t="b">
        <v>0</v>
      </c>
      <c r="BE22" s="6" t="b">
        <v>0</v>
      </c>
      <c r="BF22" s="6" t="b">
        <v>0</v>
      </c>
      <c r="BG22" s="6" t="b">
        <v>0</v>
      </c>
      <c r="BH22" s="6" t="b">
        <v>0</v>
      </c>
      <c r="BI22" s="6" t="b">
        <v>0</v>
      </c>
    </row>
    <row r="23" spans="1:61" x14ac:dyDescent="0.25">
      <c r="A23" s="2">
        <v>22</v>
      </c>
      <c r="B23" s="2" t="s">
        <v>264</v>
      </c>
      <c r="C23" s="2" t="s">
        <v>240</v>
      </c>
      <c r="D23" s="2" t="s">
        <v>251</v>
      </c>
      <c r="E23" s="2">
        <v>19</v>
      </c>
      <c r="F23" s="2">
        <v>22</v>
      </c>
      <c r="G23" s="2">
        <v>25</v>
      </c>
      <c r="H23" s="2">
        <f>teachers[[#This Row],[Týždenný minimálny úväzok]]*2</f>
        <v>38</v>
      </c>
      <c r="I23" s="2">
        <f>teachers[[#This Row],[Týždenný cieľový úväzok]]*2</f>
        <v>44</v>
      </c>
      <c r="J23" s="2">
        <f>teachers[[#This Row],[Týždenný maximálny úväzok]]*2</f>
        <v>50</v>
      </c>
      <c r="K23" s="2" t="str">
        <f>teachers[[#This Row],[ID]] &amp; " - " &amp; teachers[[#This Row],[Meno a priezvisko]]</f>
        <v>22 - Učiteľ 22</v>
      </c>
      <c r="L23" s="6" t="b">
        <v>0</v>
      </c>
      <c r="M23" s="6" t="b">
        <v>0</v>
      </c>
      <c r="N23" s="6" t="b">
        <v>0</v>
      </c>
      <c r="O23" s="6" t="b">
        <v>0</v>
      </c>
      <c r="P23" s="6" t="b">
        <v>0</v>
      </c>
      <c r="Q23" s="6" t="b">
        <v>0</v>
      </c>
      <c r="R23" s="6" t="b">
        <v>0</v>
      </c>
      <c r="S23" s="6" t="b">
        <v>0</v>
      </c>
      <c r="T23" s="6" t="b">
        <v>0</v>
      </c>
      <c r="U23" s="6" t="b">
        <v>0</v>
      </c>
      <c r="V23" s="6" t="b">
        <v>1</v>
      </c>
      <c r="W23" s="6" t="b">
        <v>1</v>
      </c>
      <c r="X23" s="6" t="b">
        <v>1</v>
      </c>
      <c r="Y23" s="6" t="b">
        <v>0</v>
      </c>
      <c r="Z23" s="6" t="b">
        <v>0</v>
      </c>
      <c r="AA23" s="6" t="b">
        <v>1</v>
      </c>
      <c r="AB23" s="6" t="b">
        <v>1</v>
      </c>
      <c r="AC23" s="6" t="b">
        <v>1</v>
      </c>
      <c r="AD23" s="6" t="b">
        <v>0</v>
      </c>
      <c r="AE23" s="6" t="b">
        <v>0</v>
      </c>
      <c r="AF23" s="6" t="b">
        <v>0</v>
      </c>
      <c r="AG23" s="6" t="b">
        <v>0</v>
      </c>
      <c r="AH23" s="6" t="b">
        <v>0</v>
      </c>
      <c r="AI23" s="6" t="b">
        <v>0</v>
      </c>
      <c r="AJ23" s="6" t="b">
        <v>0</v>
      </c>
      <c r="AK23" s="6" t="b">
        <v>0</v>
      </c>
      <c r="AL23" s="6" t="b">
        <v>0</v>
      </c>
      <c r="AM23" s="6" t="b">
        <v>0</v>
      </c>
      <c r="AN23" s="6" t="b">
        <v>0</v>
      </c>
      <c r="AO23" s="6" t="b">
        <v>0</v>
      </c>
      <c r="AP23" s="6" t="b">
        <v>0</v>
      </c>
      <c r="AQ23" s="6" t="b">
        <v>0</v>
      </c>
      <c r="AR23" s="6" t="b">
        <v>0</v>
      </c>
      <c r="AS23" s="6" t="b">
        <v>0</v>
      </c>
      <c r="AT23" s="6" t="b">
        <v>0</v>
      </c>
      <c r="AU23" s="6" t="b">
        <v>0</v>
      </c>
      <c r="AV23" s="6" t="b">
        <v>0</v>
      </c>
      <c r="AW23" s="6" t="b">
        <v>0</v>
      </c>
      <c r="AX23" s="6" t="b">
        <v>1</v>
      </c>
      <c r="AY23" s="6" t="b">
        <v>0</v>
      </c>
      <c r="AZ23" s="6" t="b">
        <v>0</v>
      </c>
      <c r="BA23" s="6" t="b">
        <v>0</v>
      </c>
      <c r="BB23" s="6" t="b">
        <v>0</v>
      </c>
      <c r="BC23" s="6" t="b">
        <v>0</v>
      </c>
      <c r="BD23" s="6" t="b">
        <v>0</v>
      </c>
      <c r="BE23" s="6" t="b">
        <v>0</v>
      </c>
      <c r="BF23" s="6" t="b">
        <v>0</v>
      </c>
      <c r="BG23" s="6" t="b">
        <v>0</v>
      </c>
      <c r="BH23" s="6" t="b">
        <v>0</v>
      </c>
      <c r="BI23" s="6" t="b">
        <v>0</v>
      </c>
    </row>
    <row r="24" spans="1:61" x14ac:dyDescent="0.25">
      <c r="A24" s="2">
        <v>23</v>
      </c>
      <c r="B24" s="2" t="s">
        <v>265</v>
      </c>
      <c r="C24" s="2" t="s">
        <v>240</v>
      </c>
      <c r="E24" s="2">
        <v>0</v>
      </c>
      <c r="F24" s="2">
        <v>5</v>
      </c>
      <c r="G24" s="2">
        <v>10</v>
      </c>
      <c r="H24" s="2">
        <f>teachers[[#This Row],[Týždenný minimálny úväzok]]*2</f>
        <v>0</v>
      </c>
      <c r="I24" s="2">
        <f>teachers[[#This Row],[Týždenný cieľový úväzok]]*2</f>
        <v>10</v>
      </c>
      <c r="J24" s="2">
        <f>teachers[[#This Row],[Týždenný maximálny úväzok]]*2</f>
        <v>20</v>
      </c>
      <c r="K24" s="2" t="str">
        <f>teachers[[#This Row],[ID]] &amp; " - " &amp; teachers[[#This Row],[Meno a priezvisko]]</f>
        <v>23 - Učiteľ 23</v>
      </c>
      <c r="L24" s="6" t="b">
        <v>0</v>
      </c>
      <c r="M24" s="6" t="b">
        <v>0</v>
      </c>
      <c r="N24" s="6" t="b">
        <v>0</v>
      </c>
      <c r="O24" s="6" t="b">
        <v>0</v>
      </c>
      <c r="P24" s="6" t="b">
        <v>0</v>
      </c>
      <c r="Q24" s="6" t="b">
        <v>0</v>
      </c>
      <c r="R24" s="6" t="b">
        <v>0</v>
      </c>
      <c r="S24" s="6" t="b">
        <v>0</v>
      </c>
      <c r="T24" s="6" t="b">
        <v>1</v>
      </c>
      <c r="U24" s="6" t="b">
        <v>0</v>
      </c>
      <c r="V24" s="6" t="b">
        <v>0</v>
      </c>
      <c r="W24" s="6" t="b">
        <v>0</v>
      </c>
      <c r="X24" s="6" t="b">
        <v>0</v>
      </c>
      <c r="Y24" s="6" t="b">
        <v>0</v>
      </c>
      <c r="Z24" s="6" t="b">
        <v>0</v>
      </c>
      <c r="AA24" s="6" t="b">
        <v>0</v>
      </c>
      <c r="AB24" s="6" t="b">
        <v>0</v>
      </c>
      <c r="AC24" s="6" t="b">
        <v>0</v>
      </c>
      <c r="AD24" s="6" t="b">
        <v>0</v>
      </c>
      <c r="AE24" s="6" t="b">
        <v>0</v>
      </c>
      <c r="AF24" s="6" t="b">
        <v>0</v>
      </c>
      <c r="AG24" s="6" t="b">
        <v>0</v>
      </c>
      <c r="AH24" s="6" t="b">
        <v>0</v>
      </c>
      <c r="AI24" s="6" t="b">
        <v>0</v>
      </c>
      <c r="AJ24" s="6" t="b">
        <v>0</v>
      </c>
      <c r="AK24" s="6" t="b">
        <v>0</v>
      </c>
      <c r="AL24" s="6" t="b">
        <v>0</v>
      </c>
      <c r="AM24" s="6" t="b">
        <v>0</v>
      </c>
      <c r="AN24" s="6" t="b">
        <v>0</v>
      </c>
      <c r="AO24" s="6" t="b">
        <v>0</v>
      </c>
      <c r="AP24" s="6" t="b">
        <v>0</v>
      </c>
      <c r="AQ24" s="6" t="b">
        <v>0</v>
      </c>
      <c r="AR24" s="6" t="b">
        <v>0</v>
      </c>
      <c r="AS24" s="6" t="b">
        <v>0</v>
      </c>
      <c r="AT24" s="6" t="b">
        <v>0</v>
      </c>
      <c r="AU24" s="6" t="b">
        <v>0</v>
      </c>
      <c r="AV24" s="6" t="b">
        <v>0</v>
      </c>
      <c r="AW24" s="6" t="b">
        <v>0</v>
      </c>
      <c r="AX24" s="6" t="b">
        <v>0</v>
      </c>
      <c r="AY24" s="6" t="b">
        <v>0</v>
      </c>
      <c r="AZ24" s="6" t="b">
        <v>0</v>
      </c>
      <c r="BA24" s="6" t="b">
        <v>0</v>
      </c>
      <c r="BB24" s="6" t="b">
        <v>0</v>
      </c>
      <c r="BC24" s="6" t="b">
        <v>0</v>
      </c>
      <c r="BD24" s="6" t="b">
        <v>0</v>
      </c>
      <c r="BE24" s="6" t="b">
        <v>0</v>
      </c>
      <c r="BF24" s="6" t="b">
        <v>0</v>
      </c>
      <c r="BG24" s="6" t="b">
        <v>0</v>
      </c>
      <c r="BH24" s="6" t="b">
        <v>0</v>
      </c>
      <c r="BI24" s="6" t="b">
        <v>0</v>
      </c>
    </row>
    <row r="25" spans="1:61" x14ac:dyDescent="0.25">
      <c r="A25" s="2">
        <v>24</v>
      </c>
      <c r="B25" s="2" t="s">
        <v>266</v>
      </c>
      <c r="C25" s="2" t="s">
        <v>240</v>
      </c>
      <c r="E25" s="2">
        <v>19</v>
      </c>
      <c r="F25" s="2">
        <v>22</v>
      </c>
      <c r="G25" s="2">
        <v>25</v>
      </c>
      <c r="H25" s="2">
        <f>teachers[[#This Row],[Týždenný minimálny úväzok]]*2</f>
        <v>38</v>
      </c>
      <c r="I25" s="2">
        <f>teachers[[#This Row],[Týždenný cieľový úväzok]]*2</f>
        <v>44</v>
      </c>
      <c r="J25" s="2">
        <f>teachers[[#This Row],[Týždenný maximálny úväzok]]*2</f>
        <v>50</v>
      </c>
      <c r="K25" s="2" t="str">
        <f>teachers[[#This Row],[ID]] &amp; " - " &amp; teachers[[#This Row],[Meno a priezvisko]]</f>
        <v>24 - Učiteľ 24</v>
      </c>
      <c r="L25" s="6" t="b">
        <v>0</v>
      </c>
      <c r="M25" s="6" t="b">
        <v>0</v>
      </c>
      <c r="N25" s="6" t="b">
        <v>0</v>
      </c>
      <c r="O25" s="6" t="b">
        <v>0</v>
      </c>
      <c r="P25" s="6" t="b">
        <v>0</v>
      </c>
      <c r="Q25" s="6" t="b">
        <v>0</v>
      </c>
      <c r="R25" s="6" t="b">
        <v>0</v>
      </c>
      <c r="S25" s="6" t="b">
        <v>0</v>
      </c>
      <c r="T25" s="6" t="b">
        <v>0</v>
      </c>
      <c r="U25" s="6" t="b">
        <v>0</v>
      </c>
      <c r="V25" s="6" t="b">
        <v>0</v>
      </c>
      <c r="W25" s="6" t="b">
        <v>0</v>
      </c>
      <c r="X25" s="6" t="b">
        <v>0</v>
      </c>
      <c r="Y25" s="6" t="b">
        <v>0</v>
      </c>
      <c r="Z25" s="6" t="b">
        <v>0</v>
      </c>
      <c r="AA25" s="6" t="b">
        <v>0</v>
      </c>
      <c r="AB25" s="6" t="b">
        <v>0</v>
      </c>
      <c r="AC25" s="6" t="b">
        <v>0</v>
      </c>
      <c r="AD25" s="6" t="b">
        <v>0</v>
      </c>
      <c r="AE25" s="6" t="b">
        <v>0</v>
      </c>
      <c r="AF25" s="6" t="b">
        <v>0</v>
      </c>
      <c r="AG25" s="6" t="b">
        <v>1</v>
      </c>
      <c r="AH25" s="6" t="b">
        <v>1</v>
      </c>
      <c r="AI25" s="6" t="b">
        <v>0</v>
      </c>
      <c r="AJ25" s="6" t="b">
        <v>0</v>
      </c>
      <c r="AK25" s="6" t="b">
        <v>0</v>
      </c>
      <c r="AL25" s="6" t="b">
        <v>0</v>
      </c>
      <c r="AM25" s="6" t="b">
        <v>0</v>
      </c>
      <c r="AN25" s="6" t="b">
        <v>0</v>
      </c>
      <c r="AO25" s="6" t="b">
        <v>0</v>
      </c>
      <c r="AP25" s="6" t="b">
        <v>0</v>
      </c>
      <c r="AQ25" s="6" t="b">
        <v>0</v>
      </c>
      <c r="AR25" s="6" t="b">
        <v>0</v>
      </c>
      <c r="AS25" s="6" t="b">
        <v>0</v>
      </c>
      <c r="AT25" s="6" t="b">
        <v>0</v>
      </c>
      <c r="AU25" s="6" t="b">
        <v>0</v>
      </c>
      <c r="AV25" s="6" t="b">
        <v>0</v>
      </c>
      <c r="AW25" s="6" t="b">
        <v>0</v>
      </c>
      <c r="AX25" s="6" t="b">
        <v>0</v>
      </c>
      <c r="AY25" s="6" t="b">
        <v>0</v>
      </c>
      <c r="AZ25" s="6" t="b">
        <v>0</v>
      </c>
      <c r="BA25" s="6" t="b">
        <v>1</v>
      </c>
      <c r="BB25" s="6" t="b">
        <v>0</v>
      </c>
      <c r="BC25" s="6" t="b">
        <v>1</v>
      </c>
      <c r="BD25" s="6" t="b">
        <v>0</v>
      </c>
      <c r="BE25" s="6" t="b">
        <v>1</v>
      </c>
      <c r="BF25" s="6" t="b">
        <v>1</v>
      </c>
      <c r="BG25" s="6" t="b">
        <v>0</v>
      </c>
      <c r="BH25" s="6" t="b">
        <v>0</v>
      </c>
      <c r="BI25" s="6" t="b">
        <v>0</v>
      </c>
    </row>
    <row r="26" spans="1:61" x14ac:dyDescent="0.25">
      <c r="A26" s="2">
        <v>25</v>
      </c>
      <c r="B26" s="2" t="s">
        <v>267</v>
      </c>
      <c r="C26" s="2" t="s">
        <v>240</v>
      </c>
      <c r="E26" s="2">
        <v>19</v>
      </c>
      <c r="F26" s="2">
        <v>22</v>
      </c>
      <c r="G26" s="2">
        <v>25</v>
      </c>
      <c r="H26" s="2">
        <f>teachers[[#This Row],[Týždenný minimálny úväzok]]*2</f>
        <v>38</v>
      </c>
      <c r="I26" s="2">
        <f>teachers[[#This Row],[Týždenný cieľový úväzok]]*2</f>
        <v>44</v>
      </c>
      <c r="J26" s="2">
        <f>teachers[[#This Row],[Týždenný maximálny úväzok]]*2</f>
        <v>50</v>
      </c>
      <c r="K26" s="2" t="str">
        <f>teachers[[#This Row],[ID]] &amp; " - " &amp; teachers[[#This Row],[Meno a priezvisko]]</f>
        <v>25 - Učiteľ 25</v>
      </c>
      <c r="L26" s="6" t="b">
        <v>0</v>
      </c>
      <c r="M26" s="6" t="b">
        <v>0</v>
      </c>
      <c r="N26" s="6" t="b">
        <v>0</v>
      </c>
      <c r="O26" s="6" t="b">
        <v>1</v>
      </c>
      <c r="P26" s="6" t="b">
        <v>0</v>
      </c>
      <c r="Q26" s="6" t="b">
        <v>0</v>
      </c>
      <c r="R26" s="6" t="b">
        <v>0</v>
      </c>
      <c r="S26" s="6" t="b">
        <v>0</v>
      </c>
      <c r="T26" s="6" t="b">
        <v>0</v>
      </c>
      <c r="U26" s="6" t="b">
        <v>0</v>
      </c>
      <c r="V26" s="6" t="b">
        <v>1</v>
      </c>
      <c r="W26" s="6" t="b">
        <v>0</v>
      </c>
      <c r="X26" s="6" t="b">
        <v>0</v>
      </c>
      <c r="Y26" s="6" t="b">
        <v>1</v>
      </c>
      <c r="Z26" s="6" t="b">
        <v>0</v>
      </c>
      <c r="AA26" s="6" t="b">
        <v>0</v>
      </c>
      <c r="AB26" s="6" t="b">
        <v>1</v>
      </c>
      <c r="AC26" s="6" t="b">
        <v>0</v>
      </c>
      <c r="AD26" s="6" t="b">
        <v>0</v>
      </c>
      <c r="AE26" s="6" t="b">
        <v>0</v>
      </c>
      <c r="AF26" s="6" t="b">
        <v>0</v>
      </c>
      <c r="AG26" s="6" t="b">
        <v>0</v>
      </c>
      <c r="AH26" s="6" t="b">
        <v>0</v>
      </c>
      <c r="AI26" s="6" t="b">
        <v>0</v>
      </c>
      <c r="AJ26" s="6" t="b">
        <v>0</v>
      </c>
      <c r="AK26" s="6" t="b">
        <v>0</v>
      </c>
      <c r="AL26" s="6" t="b">
        <v>0</v>
      </c>
      <c r="AM26" s="6" t="b">
        <v>0</v>
      </c>
      <c r="AN26" s="6" t="b">
        <v>1</v>
      </c>
      <c r="AO26" s="6" t="b">
        <v>0</v>
      </c>
      <c r="AP26" s="6" t="b">
        <v>0</v>
      </c>
      <c r="AQ26" s="6" t="b">
        <v>0</v>
      </c>
      <c r="AR26" s="6" t="b">
        <v>0</v>
      </c>
      <c r="AS26" s="6" t="b">
        <v>0</v>
      </c>
      <c r="AT26" s="6" t="b">
        <v>0</v>
      </c>
      <c r="AU26" s="6" t="b">
        <v>0</v>
      </c>
      <c r="AV26" s="6" t="b">
        <v>1</v>
      </c>
      <c r="AW26" s="6" t="b">
        <v>0</v>
      </c>
      <c r="AX26" s="6" t="b">
        <v>0</v>
      </c>
      <c r="AY26" s="6" t="b">
        <v>0</v>
      </c>
      <c r="AZ26" s="6" t="b">
        <v>0</v>
      </c>
      <c r="BA26" s="6" t="b">
        <v>0</v>
      </c>
      <c r="BB26" s="6" t="b">
        <v>0</v>
      </c>
      <c r="BC26" s="6" t="b">
        <v>0</v>
      </c>
      <c r="BD26" s="6" t="b">
        <v>0</v>
      </c>
      <c r="BE26" s="6" t="b">
        <v>1</v>
      </c>
      <c r="BF26" s="6" t="b">
        <v>0</v>
      </c>
      <c r="BG26" s="6" t="b">
        <v>0</v>
      </c>
      <c r="BH26" s="6" t="b">
        <v>0</v>
      </c>
      <c r="BI26" s="6" t="b">
        <v>0</v>
      </c>
    </row>
    <row r="27" spans="1:61" x14ac:dyDescent="0.25">
      <c r="A27" s="2">
        <v>26</v>
      </c>
      <c r="B27" s="2" t="s">
        <v>268</v>
      </c>
      <c r="C27" s="2" t="s">
        <v>240</v>
      </c>
      <c r="E27" s="2">
        <v>13</v>
      </c>
      <c r="F27" s="2">
        <v>16</v>
      </c>
      <c r="G27" s="2">
        <v>19</v>
      </c>
      <c r="H27" s="2">
        <f>teachers[[#This Row],[Týždenný minimálny úväzok]]*2</f>
        <v>26</v>
      </c>
      <c r="I27" s="2">
        <f>teachers[[#This Row],[Týždenný cieľový úväzok]]*2</f>
        <v>32</v>
      </c>
      <c r="J27" s="2">
        <f>teachers[[#This Row],[Týždenný maximálny úväzok]]*2</f>
        <v>38</v>
      </c>
      <c r="K27" s="2" t="str">
        <f>teachers[[#This Row],[ID]] &amp; " - " &amp; teachers[[#This Row],[Meno a priezvisko]]</f>
        <v>26 - Učiteľ 26</v>
      </c>
      <c r="L27" s="6" t="b">
        <v>0</v>
      </c>
      <c r="M27" s="6" t="b">
        <v>0</v>
      </c>
      <c r="N27" s="6" t="b">
        <v>0</v>
      </c>
      <c r="O27" s="6" t="b">
        <v>0</v>
      </c>
      <c r="P27" s="6" t="b">
        <v>0</v>
      </c>
      <c r="Q27" s="6" t="b">
        <v>0</v>
      </c>
      <c r="R27" s="6" t="b">
        <v>0</v>
      </c>
      <c r="S27" s="6" t="b">
        <v>0</v>
      </c>
      <c r="T27" s="6" t="b">
        <v>0</v>
      </c>
      <c r="U27" s="6" t="b">
        <v>0</v>
      </c>
      <c r="V27" s="6" t="b">
        <v>0</v>
      </c>
      <c r="W27" s="6" t="b">
        <v>0</v>
      </c>
      <c r="X27" s="6" t="b">
        <v>0</v>
      </c>
      <c r="Y27" s="6" t="b">
        <v>0</v>
      </c>
      <c r="Z27" s="6" t="b">
        <v>0</v>
      </c>
      <c r="AA27" s="6" t="b">
        <v>0</v>
      </c>
      <c r="AB27" s="6" t="b">
        <v>1</v>
      </c>
      <c r="AC27" s="6" t="b">
        <v>0</v>
      </c>
      <c r="AD27" s="6" t="b">
        <v>0</v>
      </c>
      <c r="AE27" s="6" t="b">
        <v>0</v>
      </c>
      <c r="AF27" s="6" t="b">
        <v>0</v>
      </c>
      <c r="AG27" s="6" t="b">
        <v>0</v>
      </c>
      <c r="AH27" s="6" t="b">
        <v>0</v>
      </c>
      <c r="AI27" s="6" t="b">
        <v>0</v>
      </c>
      <c r="AJ27" s="6" t="b">
        <v>0</v>
      </c>
      <c r="AK27" s="6" t="b">
        <v>0</v>
      </c>
      <c r="AL27" s="6" t="b">
        <v>0</v>
      </c>
      <c r="AM27" s="6" t="b">
        <v>1</v>
      </c>
      <c r="AN27" s="6" t="b">
        <v>0</v>
      </c>
      <c r="AO27" s="6" t="b">
        <v>0</v>
      </c>
      <c r="AP27" s="6" t="b">
        <v>0</v>
      </c>
      <c r="AQ27" s="6" t="b">
        <v>0</v>
      </c>
      <c r="AR27" s="6" t="b">
        <v>0</v>
      </c>
      <c r="AS27" s="6" t="b">
        <v>0</v>
      </c>
      <c r="AT27" s="6" t="b">
        <v>0</v>
      </c>
      <c r="AU27" s="6" t="b">
        <v>0</v>
      </c>
      <c r="AV27" s="6" t="b">
        <v>0</v>
      </c>
      <c r="AW27" s="6" t="b">
        <v>0</v>
      </c>
      <c r="AX27" s="6" t="b">
        <v>0</v>
      </c>
      <c r="AY27" s="6" t="b">
        <v>0</v>
      </c>
      <c r="AZ27" s="6" t="b">
        <v>0</v>
      </c>
      <c r="BA27" s="6" t="b">
        <v>0</v>
      </c>
      <c r="BB27" s="6" t="b">
        <v>0</v>
      </c>
      <c r="BC27" s="6" t="b">
        <v>0</v>
      </c>
      <c r="BD27" s="6" t="b">
        <v>0</v>
      </c>
      <c r="BE27" s="6" t="b">
        <v>0</v>
      </c>
      <c r="BF27" s="6" t="b">
        <v>0</v>
      </c>
      <c r="BG27" s="6" t="b">
        <v>0</v>
      </c>
      <c r="BH27" s="6" t="b">
        <v>0</v>
      </c>
      <c r="BI27" s="6" t="b">
        <v>0</v>
      </c>
    </row>
    <row r="28" spans="1:61" x14ac:dyDescent="0.25">
      <c r="A28" s="2">
        <v>27</v>
      </c>
      <c r="B28" s="2" t="s">
        <v>270</v>
      </c>
      <c r="C28" s="2" t="s">
        <v>269</v>
      </c>
      <c r="E28" s="2">
        <v>3</v>
      </c>
      <c r="F28" s="2">
        <v>3</v>
      </c>
      <c r="G28" s="2">
        <v>6</v>
      </c>
      <c r="H28" s="2">
        <f>teachers[[#This Row],[Týždenný minimálny úväzok]]*2</f>
        <v>6</v>
      </c>
      <c r="I28" s="2">
        <f>teachers[[#This Row],[Týždenný cieľový úväzok]]*2</f>
        <v>6</v>
      </c>
      <c r="J28" s="2">
        <f>teachers[[#This Row],[Týždenný maximálny úväzok]]*2</f>
        <v>12</v>
      </c>
      <c r="K28" s="2" t="str">
        <f>teachers[[#This Row],[ID]] &amp; " - " &amp; teachers[[#This Row],[Meno a priezvisko]]</f>
        <v>27 - Učiteľ 27</v>
      </c>
      <c r="L28" s="6" t="b">
        <v>0</v>
      </c>
      <c r="M28" s="6" t="b">
        <v>0</v>
      </c>
      <c r="N28" s="6" t="b">
        <v>0</v>
      </c>
      <c r="O28" s="6" t="b">
        <v>0</v>
      </c>
      <c r="P28" s="6" t="b">
        <v>0</v>
      </c>
      <c r="Q28" s="6" t="b">
        <v>0</v>
      </c>
      <c r="R28" s="6" t="b">
        <v>0</v>
      </c>
      <c r="S28" s="6" t="b">
        <v>0</v>
      </c>
      <c r="T28" s="6" t="b">
        <v>0</v>
      </c>
      <c r="U28" s="6" t="b">
        <v>0</v>
      </c>
      <c r="V28" s="6" t="b">
        <v>0</v>
      </c>
      <c r="W28" s="6" t="b">
        <v>0</v>
      </c>
      <c r="X28" s="6" t="b">
        <v>0</v>
      </c>
      <c r="Y28" s="6" t="b">
        <v>0</v>
      </c>
      <c r="Z28" s="6" t="b">
        <v>0</v>
      </c>
      <c r="AA28" s="6" t="b">
        <v>0</v>
      </c>
      <c r="AB28" s="6" t="b">
        <v>0</v>
      </c>
      <c r="AC28" s="6" t="b">
        <v>0</v>
      </c>
      <c r="AD28" s="6" t="b">
        <v>0</v>
      </c>
      <c r="AE28" s="6" t="b">
        <v>0</v>
      </c>
      <c r="AF28" s="6" t="b">
        <v>0</v>
      </c>
      <c r="AG28" s="6" t="b">
        <v>0</v>
      </c>
      <c r="AH28" s="6" t="b">
        <v>1</v>
      </c>
      <c r="AI28" s="6" t="b">
        <v>0</v>
      </c>
      <c r="AJ28" s="6" t="b">
        <v>0</v>
      </c>
      <c r="AK28" s="6" t="b">
        <v>0</v>
      </c>
      <c r="AL28" s="6" t="b">
        <v>0</v>
      </c>
      <c r="AM28" s="6" t="b">
        <v>0</v>
      </c>
      <c r="AN28" s="6" t="b">
        <v>0</v>
      </c>
      <c r="AO28" s="6" t="b">
        <v>0</v>
      </c>
      <c r="AP28" s="6" t="b">
        <v>0</v>
      </c>
      <c r="AQ28" s="6" t="b">
        <v>0</v>
      </c>
      <c r="AR28" s="6" t="b">
        <v>0</v>
      </c>
      <c r="AS28" s="6" t="b">
        <v>0</v>
      </c>
      <c r="AT28" s="6" t="b">
        <v>0</v>
      </c>
      <c r="AU28" s="6" t="b">
        <v>0</v>
      </c>
      <c r="AV28" s="6" t="b">
        <v>0</v>
      </c>
      <c r="AW28" s="6" t="b">
        <v>0</v>
      </c>
      <c r="AX28" s="6" t="b">
        <v>0</v>
      </c>
      <c r="AY28" s="6" t="b">
        <v>0</v>
      </c>
      <c r="AZ28" s="6" t="b">
        <v>0</v>
      </c>
      <c r="BA28" s="6" t="b">
        <v>0</v>
      </c>
      <c r="BB28" s="6" t="b">
        <v>0</v>
      </c>
      <c r="BC28" s="6" t="b">
        <v>0</v>
      </c>
      <c r="BD28" s="6" t="b">
        <v>0</v>
      </c>
      <c r="BE28" s="6" t="b">
        <v>1</v>
      </c>
      <c r="BF28" s="6" t="b">
        <v>0</v>
      </c>
      <c r="BG28" s="6" t="b">
        <v>0</v>
      </c>
      <c r="BH28" s="6" t="b">
        <v>0</v>
      </c>
      <c r="BI28" s="6" t="b">
        <v>0</v>
      </c>
    </row>
    <row r="29" spans="1:61" x14ac:dyDescent="0.25">
      <c r="A29" s="2">
        <v>28</v>
      </c>
      <c r="B29" s="2" t="s">
        <v>271</v>
      </c>
      <c r="C29" s="2" t="s">
        <v>240</v>
      </c>
      <c r="E29" s="2">
        <v>20</v>
      </c>
      <c r="F29" s="2">
        <v>23</v>
      </c>
      <c r="G29" s="2">
        <v>26</v>
      </c>
      <c r="H29" s="2">
        <f>teachers[[#This Row],[Týždenný minimálny úväzok]]*2</f>
        <v>40</v>
      </c>
      <c r="I29" s="2">
        <f>teachers[[#This Row],[Týždenný cieľový úväzok]]*2</f>
        <v>46</v>
      </c>
      <c r="J29" s="2">
        <f>teachers[[#This Row],[Týždenný maximálny úväzok]]*2</f>
        <v>52</v>
      </c>
      <c r="K29" s="2" t="str">
        <f>teachers[[#This Row],[ID]] &amp; " - " &amp; teachers[[#This Row],[Meno a priezvisko]]</f>
        <v>28 - Učiteľ 28</v>
      </c>
      <c r="L29" s="6" t="b">
        <v>1</v>
      </c>
      <c r="M29" s="6" t="b">
        <v>0</v>
      </c>
      <c r="N29" s="6" t="b">
        <v>0</v>
      </c>
      <c r="O29" s="6" t="b">
        <v>0</v>
      </c>
      <c r="P29" s="6" t="b">
        <v>0</v>
      </c>
      <c r="Q29" s="6" t="b">
        <v>0</v>
      </c>
      <c r="R29" s="6" t="b">
        <v>0</v>
      </c>
      <c r="S29" s="6" t="b">
        <v>0</v>
      </c>
      <c r="T29" s="6" t="b">
        <v>0</v>
      </c>
      <c r="U29" s="6" t="b">
        <v>1</v>
      </c>
      <c r="V29" s="6" t="b">
        <v>0</v>
      </c>
      <c r="W29" s="6" t="b">
        <v>0</v>
      </c>
      <c r="X29" s="6" t="b">
        <v>0</v>
      </c>
      <c r="Y29" s="6" t="b">
        <v>0</v>
      </c>
      <c r="Z29" s="6" t="b">
        <v>0</v>
      </c>
      <c r="AA29" s="6" t="b">
        <v>0</v>
      </c>
      <c r="AB29" s="6" t="b">
        <v>0</v>
      </c>
      <c r="AC29" s="6" t="b">
        <v>0</v>
      </c>
      <c r="AD29" s="6" t="b">
        <v>0</v>
      </c>
      <c r="AE29" s="6" t="b">
        <v>0</v>
      </c>
      <c r="AF29" s="6" t="b">
        <v>0</v>
      </c>
      <c r="AG29" s="6" t="b">
        <v>0</v>
      </c>
      <c r="AH29" s="6" t="b">
        <v>0</v>
      </c>
      <c r="AI29" s="6" t="b">
        <v>0</v>
      </c>
      <c r="AJ29" s="6" t="b">
        <v>0</v>
      </c>
      <c r="AK29" s="6" t="b">
        <v>0</v>
      </c>
      <c r="AL29" s="6" t="b">
        <v>0</v>
      </c>
      <c r="AM29" s="6" t="b">
        <v>0</v>
      </c>
      <c r="AN29" s="6" t="b">
        <v>0</v>
      </c>
      <c r="AO29" s="6" t="b">
        <v>0</v>
      </c>
      <c r="AP29" s="6" t="b">
        <v>0</v>
      </c>
      <c r="AQ29" s="6" t="b">
        <v>0</v>
      </c>
      <c r="AR29" s="6" t="b">
        <v>0</v>
      </c>
      <c r="AS29" s="6" t="b">
        <v>0</v>
      </c>
      <c r="AT29" s="6" t="b">
        <v>0</v>
      </c>
      <c r="AU29" s="6" t="b">
        <v>0</v>
      </c>
      <c r="AV29" s="6" t="b">
        <v>0</v>
      </c>
      <c r="AW29" s="6" t="b">
        <v>0</v>
      </c>
      <c r="AX29" s="6" t="b">
        <v>0</v>
      </c>
      <c r="AY29" s="6" t="b">
        <v>0</v>
      </c>
      <c r="AZ29" s="6" t="b">
        <v>0</v>
      </c>
      <c r="BA29" s="6" t="b">
        <v>0</v>
      </c>
      <c r="BB29" s="6" t="b">
        <v>0</v>
      </c>
      <c r="BC29" s="6" t="b">
        <v>0</v>
      </c>
      <c r="BD29" s="6" t="b">
        <v>0</v>
      </c>
      <c r="BE29" s="6" t="b">
        <v>0</v>
      </c>
      <c r="BF29" s="6" t="b">
        <v>0</v>
      </c>
      <c r="BG29" s="6" t="b">
        <v>0</v>
      </c>
      <c r="BH29" s="6" t="b">
        <v>0</v>
      </c>
      <c r="BI29" s="6" t="b">
        <v>1</v>
      </c>
    </row>
    <row r="30" spans="1:61" x14ac:dyDescent="0.25">
      <c r="A30" s="2">
        <v>29</v>
      </c>
      <c r="B30" s="2" t="s">
        <v>272</v>
      </c>
      <c r="C30" s="2" t="s">
        <v>240</v>
      </c>
      <c r="E30" s="2">
        <v>0</v>
      </c>
      <c r="F30" s="2">
        <v>4</v>
      </c>
      <c r="G30" s="2">
        <v>8</v>
      </c>
      <c r="H30" s="2">
        <f>teachers[[#This Row],[Týždenný minimálny úväzok]]*2</f>
        <v>0</v>
      </c>
      <c r="I30" s="2">
        <f>teachers[[#This Row],[Týždenný cieľový úväzok]]*2</f>
        <v>8</v>
      </c>
      <c r="J30" s="2">
        <f>teachers[[#This Row],[Týždenný maximálny úväzok]]*2</f>
        <v>16</v>
      </c>
      <c r="K30" s="2" t="str">
        <f>teachers[[#This Row],[ID]] &amp; " - " &amp; teachers[[#This Row],[Meno a priezvisko]]</f>
        <v>29 - Učiteľ 29</v>
      </c>
      <c r="L30" s="6" t="b">
        <v>0</v>
      </c>
      <c r="M30" s="6" t="b">
        <v>0</v>
      </c>
      <c r="N30" s="6" t="b">
        <v>0</v>
      </c>
      <c r="O30" s="6" t="b">
        <v>0</v>
      </c>
      <c r="P30" s="6" t="b">
        <v>0</v>
      </c>
      <c r="Q30" s="6" t="b">
        <v>0</v>
      </c>
      <c r="R30" s="6" t="b">
        <v>0</v>
      </c>
      <c r="S30" s="6" t="b">
        <v>0</v>
      </c>
      <c r="T30" s="6" t="b">
        <v>0</v>
      </c>
      <c r="U30" s="6" t="b">
        <v>0</v>
      </c>
      <c r="V30" s="6" t="b">
        <v>0</v>
      </c>
      <c r="W30" s="6" t="b">
        <v>0</v>
      </c>
      <c r="X30" s="6" t="b">
        <v>0</v>
      </c>
      <c r="Y30" s="6" t="b">
        <v>0</v>
      </c>
      <c r="Z30" s="6" t="b">
        <v>0</v>
      </c>
      <c r="AA30" s="6" t="b">
        <v>0</v>
      </c>
      <c r="AB30" s="6" t="b">
        <v>0</v>
      </c>
      <c r="AC30" s="6" t="b">
        <v>0</v>
      </c>
      <c r="AD30" s="6" t="b">
        <v>0</v>
      </c>
      <c r="AE30" s="6" t="b">
        <v>0</v>
      </c>
      <c r="AF30" s="6" t="b">
        <v>0</v>
      </c>
      <c r="AG30" s="6" t="b">
        <v>0</v>
      </c>
      <c r="AH30" s="6" t="b">
        <v>0</v>
      </c>
      <c r="AI30" s="6" t="b">
        <v>0</v>
      </c>
      <c r="AJ30" s="6" t="b">
        <v>0</v>
      </c>
      <c r="AK30" s="6" t="b">
        <v>0</v>
      </c>
      <c r="AL30" s="6" t="b">
        <v>0</v>
      </c>
      <c r="AM30" s="6" t="b">
        <v>0</v>
      </c>
      <c r="AN30" s="6" t="b">
        <v>0</v>
      </c>
      <c r="AO30" s="6" t="b">
        <v>0</v>
      </c>
      <c r="AP30" s="6" t="b">
        <v>0</v>
      </c>
      <c r="AQ30" s="6" t="b">
        <v>0</v>
      </c>
      <c r="AR30" s="6" t="b">
        <v>0</v>
      </c>
      <c r="AS30" s="6" t="b">
        <v>0</v>
      </c>
      <c r="AT30" s="6" t="b">
        <v>0</v>
      </c>
      <c r="AU30" s="6" t="b">
        <v>0</v>
      </c>
      <c r="AV30" s="6" t="b">
        <v>0</v>
      </c>
      <c r="AW30" s="6" t="b">
        <v>0</v>
      </c>
      <c r="AX30" s="6" t="b">
        <v>0</v>
      </c>
      <c r="AY30" s="6" t="b">
        <v>0</v>
      </c>
      <c r="AZ30" s="6" t="b">
        <v>0</v>
      </c>
      <c r="BA30" s="6" t="b">
        <v>1</v>
      </c>
      <c r="BB30" s="6" t="b">
        <v>1</v>
      </c>
      <c r="BC30" s="6" t="b">
        <v>0</v>
      </c>
      <c r="BD30" s="6" t="b">
        <v>0</v>
      </c>
      <c r="BE30" s="6" t="b">
        <v>1</v>
      </c>
      <c r="BF30" s="6" t="b">
        <v>0</v>
      </c>
      <c r="BG30" s="6" t="b">
        <v>0</v>
      </c>
      <c r="BH30" s="6" t="b">
        <v>0</v>
      </c>
      <c r="BI30" s="6" t="b">
        <v>0</v>
      </c>
    </row>
    <row r="31" spans="1:61" x14ac:dyDescent="0.25">
      <c r="A31" s="2">
        <v>30</v>
      </c>
      <c r="B31" s="2" t="s">
        <v>273</v>
      </c>
      <c r="C31" s="2" t="s">
        <v>242</v>
      </c>
      <c r="E31" s="2">
        <v>18.5</v>
      </c>
      <c r="F31" s="2">
        <v>21.5</v>
      </c>
      <c r="G31" s="2">
        <v>24.5</v>
      </c>
      <c r="H31" s="2">
        <f>teachers[[#This Row],[Týždenný minimálny úväzok]]*2</f>
        <v>37</v>
      </c>
      <c r="I31" s="2">
        <f>teachers[[#This Row],[Týždenný cieľový úväzok]]*2</f>
        <v>43</v>
      </c>
      <c r="J31" s="2">
        <f>teachers[[#This Row],[Týždenný maximálny úväzok]]*2</f>
        <v>49</v>
      </c>
      <c r="K31" s="2" t="str">
        <f>teachers[[#This Row],[ID]] &amp; " - " &amp; teachers[[#This Row],[Meno a priezvisko]]</f>
        <v>30 - Učiteľ 30</v>
      </c>
      <c r="L31" s="6" t="b">
        <v>0</v>
      </c>
      <c r="M31" s="6" t="b">
        <v>0</v>
      </c>
      <c r="N31" s="6" t="b">
        <v>0</v>
      </c>
      <c r="O31" s="6" t="b">
        <v>0</v>
      </c>
      <c r="P31" s="6" t="b">
        <v>0</v>
      </c>
      <c r="Q31" s="6" t="b">
        <v>0</v>
      </c>
      <c r="R31" s="6" t="b">
        <v>0</v>
      </c>
      <c r="S31" s="6" t="b">
        <v>0</v>
      </c>
      <c r="T31" s="6" t="b">
        <v>0</v>
      </c>
      <c r="U31" s="6" t="b">
        <v>0</v>
      </c>
      <c r="V31" s="6" t="b">
        <v>0</v>
      </c>
      <c r="W31" s="6" t="b">
        <v>0</v>
      </c>
      <c r="X31" s="6" t="b">
        <v>0</v>
      </c>
      <c r="Y31" s="6" t="b">
        <v>0</v>
      </c>
      <c r="Z31" s="6" t="b">
        <v>0</v>
      </c>
      <c r="AA31" s="6" t="b">
        <v>0</v>
      </c>
      <c r="AB31" s="6" t="b">
        <v>0</v>
      </c>
      <c r="AC31" s="6" t="b">
        <v>0</v>
      </c>
      <c r="AD31" s="6" t="b">
        <v>1</v>
      </c>
      <c r="AE31" s="6" t="b">
        <v>0</v>
      </c>
      <c r="AF31" s="6" t="b">
        <v>0</v>
      </c>
      <c r="AG31" s="6" t="b">
        <v>1</v>
      </c>
      <c r="AH31" s="6" t="b">
        <v>0</v>
      </c>
      <c r="AI31" s="6" t="b">
        <v>0</v>
      </c>
      <c r="AJ31" s="6" t="b">
        <v>0</v>
      </c>
      <c r="AK31" s="6" t="b">
        <v>0</v>
      </c>
      <c r="AL31" s="6" t="b">
        <v>0</v>
      </c>
      <c r="AM31" s="6" t="b">
        <v>0</v>
      </c>
      <c r="AN31" s="6" t="b">
        <v>0</v>
      </c>
      <c r="AO31" s="6" t="b">
        <v>0</v>
      </c>
      <c r="AP31" s="6" t="b">
        <v>0</v>
      </c>
      <c r="AQ31" s="6" t="b">
        <v>0</v>
      </c>
      <c r="AR31" s="6" t="b">
        <v>0</v>
      </c>
      <c r="AS31" s="6" t="b">
        <v>1</v>
      </c>
      <c r="AT31" s="6" t="b">
        <v>0</v>
      </c>
      <c r="AU31" s="6" t="b">
        <v>0</v>
      </c>
      <c r="AV31" s="6" t="b">
        <v>0</v>
      </c>
      <c r="AW31" s="6" t="b">
        <v>0</v>
      </c>
      <c r="AX31" s="6" t="b">
        <v>0</v>
      </c>
      <c r="AY31" s="6" t="b">
        <v>0</v>
      </c>
      <c r="AZ31" s="6" t="b">
        <v>0</v>
      </c>
      <c r="BA31" s="6" t="b">
        <v>0</v>
      </c>
      <c r="BB31" s="6" t="b">
        <v>0</v>
      </c>
      <c r="BC31" s="6" t="b">
        <v>0</v>
      </c>
      <c r="BD31" s="6" t="b">
        <v>0</v>
      </c>
      <c r="BE31" s="6" t="b">
        <v>0</v>
      </c>
      <c r="BF31" s="6" t="b">
        <v>0</v>
      </c>
      <c r="BG31" s="6" t="b">
        <v>0</v>
      </c>
      <c r="BH31" s="6" t="b">
        <v>0</v>
      </c>
      <c r="BI31" s="6" t="b">
        <v>0</v>
      </c>
    </row>
    <row r="32" spans="1:61" x14ac:dyDescent="0.25">
      <c r="A32" s="2">
        <v>31</v>
      </c>
      <c r="B32" s="2" t="s">
        <v>274</v>
      </c>
      <c r="C32" s="2" t="s">
        <v>242</v>
      </c>
      <c r="E32" s="2">
        <v>19</v>
      </c>
      <c r="F32" s="2">
        <v>22</v>
      </c>
      <c r="G32" s="2">
        <v>25</v>
      </c>
      <c r="H32" s="2">
        <f>teachers[[#This Row],[Týždenný minimálny úväzok]]*2</f>
        <v>38</v>
      </c>
      <c r="I32" s="2">
        <f>teachers[[#This Row],[Týždenný cieľový úväzok]]*2</f>
        <v>44</v>
      </c>
      <c r="J32" s="2">
        <f>teachers[[#This Row],[Týždenný maximálny úväzok]]*2</f>
        <v>50</v>
      </c>
      <c r="K32" s="2" t="str">
        <f>teachers[[#This Row],[ID]] &amp; " - " &amp; teachers[[#This Row],[Meno a priezvisko]]</f>
        <v>31 - Učiteľ 31</v>
      </c>
      <c r="L32" s="6" t="b">
        <v>0</v>
      </c>
      <c r="M32" s="6" t="b">
        <v>0</v>
      </c>
      <c r="N32" s="6" t="b">
        <v>0</v>
      </c>
      <c r="O32" s="6" t="b">
        <v>0</v>
      </c>
      <c r="P32" s="6" t="b">
        <v>0</v>
      </c>
      <c r="Q32" s="6" t="b">
        <v>0</v>
      </c>
      <c r="R32" s="6" t="b">
        <v>0</v>
      </c>
      <c r="S32" s="6" t="b">
        <v>0</v>
      </c>
      <c r="T32" s="6" t="b">
        <v>0</v>
      </c>
      <c r="U32" s="6" t="b">
        <v>0</v>
      </c>
      <c r="V32" s="6" t="b">
        <v>0</v>
      </c>
      <c r="W32" s="6" t="b">
        <v>0</v>
      </c>
      <c r="X32" s="6" t="b">
        <v>0</v>
      </c>
      <c r="Y32" s="6" t="b">
        <v>0</v>
      </c>
      <c r="Z32" s="6" t="b">
        <v>0</v>
      </c>
      <c r="AA32" s="6" t="b">
        <v>0</v>
      </c>
      <c r="AB32" s="6" t="b">
        <v>0</v>
      </c>
      <c r="AC32" s="6" t="b">
        <v>0</v>
      </c>
      <c r="AD32" s="6" t="b">
        <v>0</v>
      </c>
      <c r="AE32" s="6" t="b">
        <v>0</v>
      </c>
      <c r="AF32" s="6" t="b">
        <v>0</v>
      </c>
      <c r="AG32" s="6" t="b">
        <v>1</v>
      </c>
      <c r="AH32" s="6" t="b">
        <v>0</v>
      </c>
      <c r="AI32" s="6" t="b">
        <v>0</v>
      </c>
      <c r="AJ32" s="6" t="b">
        <v>0</v>
      </c>
      <c r="AK32" s="6" t="b">
        <v>1</v>
      </c>
      <c r="AL32" s="6" t="b">
        <v>0</v>
      </c>
      <c r="AM32" s="6" t="b">
        <v>1</v>
      </c>
      <c r="AN32" s="6" t="b">
        <v>0</v>
      </c>
      <c r="AO32" s="6" t="b">
        <v>0</v>
      </c>
      <c r="AP32" s="6" t="b">
        <v>0</v>
      </c>
      <c r="AQ32" s="6" t="b">
        <v>0</v>
      </c>
      <c r="AR32" s="6" t="b">
        <v>0</v>
      </c>
      <c r="AS32" s="6" t="b">
        <v>0</v>
      </c>
      <c r="AT32" s="6" t="b">
        <v>0</v>
      </c>
      <c r="AU32" s="6" t="b">
        <v>0</v>
      </c>
      <c r="AV32" s="6" t="b">
        <v>0</v>
      </c>
      <c r="AW32" s="6" t="b">
        <v>0</v>
      </c>
      <c r="AX32" s="6" t="b">
        <v>0</v>
      </c>
      <c r="AY32" s="6" t="b">
        <v>0</v>
      </c>
      <c r="AZ32" s="6" t="b">
        <v>0</v>
      </c>
      <c r="BA32" s="6" t="b">
        <v>0</v>
      </c>
      <c r="BB32" s="6" t="b">
        <v>0</v>
      </c>
      <c r="BC32" s="6" t="b">
        <v>0</v>
      </c>
      <c r="BD32" s="6" t="b">
        <v>0</v>
      </c>
      <c r="BE32" s="6" t="b">
        <v>0</v>
      </c>
      <c r="BF32" s="6" t="b">
        <v>0</v>
      </c>
      <c r="BG32" s="6" t="b">
        <v>0</v>
      </c>
      <c r="BH32" s="6" t="b">
        <v>0</v>
      </c>
      <c r="BI32" s="6" t="b">
        <v>0</v>
      </c>
    </row>
    <row r="33" spans="1:61" x14ac:dyDescent="0.25">
      <c r="A33" s="2">
        <v>32</v>
      </c>
      <c r="B33" s="2" t="s">
        <v>275</v>
      </c>
      <c r="C33" s="2" t="s">
        <v>242</v>
      </c>
      <c r="E33" s="2">
        <v>18</v>
      </c>
      <c r="F33" s="2">
        <v>21</v>
      </c>
      <c r="G33" s="2">
        <v>24</v>
      </c>
      <c r="H33" s="2">
        <f>teachers[[#This Row],[Týždenný minimálny úväzok]]*2</f>
        <v>36</v>
      </c>
      <c r="I33" s="2">
        <f>teachers[[#This Row],[Týždenný cieľový úväzok]]*2</f>
        <v>42</v>
      </c>
      <c r="J33" s="2">
        <f>teachers[[#This Row],[Týždenný maximálny úväzok]]*2</f>
        <v>48</v>
      </c>
      <c r="K33" s="2" t="str">
        <f>teachers[[#This Row],[ID]] &amp; " - " &amp; teachers[[#This Row],[Meno a priezvisko]]</f>
        <v>32 - Učiteľ 32</v>
      </c>
      <c r="L33" s="6" t="b">
        <v>1</v>
      </c>
      <c r="M33" s="6" t="b">
        <v>0</v>
      </c>
      <c r="N33" s="6" t="b">
        <v>0</v>
      </c>
      <c r="O33" s="6" t="b">
        <v>0</v>
      </c>
      <c r="P33" s="6" t="b">
        <v>0</v>
      </c>
      <c r="Q33" s="6" t="b">
        <v>0</v>
      </c>
      <c r="R33" s="6" t="b">
        <v>0</v>
      </c>
      <c r="S33" s="6" t="b">
        <v>0</v>
      </c>
      <c r="T33" s="6" t="b">
        <v>0</v>
      </c>
      <c r="U33" s="6" t="b">
        <v>0</v>
      </c>
      <c r="V33" s="6" t="b">
        <v>0</v>
      </c>
      <c r="W33" s="6" t="b">
        <v>0</v>
      </c>
      <c r="X33" s="6" t="b">
        <v>0</v>
      </c>
      <c r="Y33" s="6" t="b">
        <v>0</v>
      </c>
      <c r="Z33" s="6" t="b">
        <v>0</v>
      </c>
      <c r="AA33" s="6" t="b">
        <v>0</v>
      </c>
      <c r="AB33" s="6" t="b">
        <v>0</v>
      </c>
      <c r="AC33" s="6" t="b">
        <v>0</v>
      </c>
      <c r="AD33" s="6" t="b">
        <v>0</v>
      </c>
      <c r="AE33" s="6" t="b">
        <v>0</v>
      </c>
      <c r="AF33" s="6" t="b">
        <v>0</v>
      </c>
      <c r="AG33" s="6" t="b">
        <v>0</v>
      </c>
      <c r="AH33" s="6" t="b">
        <v>0</v>
      </c>
      <c r="AI33" s="6" t="b">
        <v>1</v>
      </c>
      <c r="AJ33" s="6" t="b">
        <v>0</v>
      </c>
      <c r="AK33" s="6" t="b">
        <v>0</v>
      </c>
      <c r="AL33" s="6" t="b">
        <v>0</v>
      </c>
      <c r="AM33" s="6" t="b">
        <v>0</v>
      </c>
      <c r="AN33" s="6" t="b">
        <v>0</v>
      </c>
      <c r="AO33" s="6" t="b">
        <v>0</v>
      </c>
      <c r="AP33" s="6" t="b">
        <v>0</v>
      </c>
      <c r="AQ33" s="6" t="b">
        <v>1</v>
      </c>
      <c r="AR33" s="6" t="b">
        <v>1</v>
      </c>
      <c r="AS33" s="6" t="b">
        <v>0</v>
      </c>
      <c r="AT33" s="6" t="b">
        <v>0</v>
      </c>
      <c r="AU33" s="6" t="b">
        <v>0</v>
      </c>
      <c r="AV33" s="6" t="b">
        <v>0</v>
      </c>
      <c r="AW33" s="6" t="b">
        <v>0</v>
      </c>
      <c r="AX33" s="6" t="b">
        <v>0</v>
      </c>
      <c r="AY33" s="6" t="b">
        <v>0</v>
      </c>
      <c r="AZ33" s="6" t="b">
        <v>0</v>
      </c>
      <c r="BA33" s="6" t="b">
        <v>0</v>
      </c>
      <c r="BB33" s="6" t="b">
        <v>0</v>
      </c>
      <c r="BC33" s="6" t="b">
        <v>0</v>
      </c>
      <c r="BD33" s="6" t="b">
        <v>0</v>
      </c>
      <c r="BE33" s="6" t="b">
        <v>0</v>
      </c>
      <c r="BF33" s="6" t="b">
        <v>0</v>
      </c>
      <c r="BG33" s="6" t="b">
        <v>0</v>
      </c>
      <c r="BH33" s="6" t="b">
        <v>0</v>
      </c>
      <c r="BI33" s="6" t="b">
        <v>0</v>
      </c>
    </row>
    <row r="34" spans="1:61" x14ac:dyDescent="0.25">
      <c r="A34" s="2">
        <v>33</v>
      </c>
      <c r="B34" s="2" t="s">
        <v>276</v>
      </c>
      <c r="C34" s="2" t="s">
        <v>242</v>
      </c>
      <c r="E34" s="2">
        <v>19</v>
      </c>
      <c r="F34" s="2">
        <v>22</v>
      </c>
      <c r="G34" s="2">
        <v>25</v>
      </c>
      <c r="H34" s="2">
        <f>teachers[[#This Row],[Týždenný minimálny úväzok]]*2</f>
        <v>38</v>
      </c>
      <c r="I34" s="2">
        <f>teachers[[#This Row],[Týždenný cieľový úväzok]]*2</f>
        <v>44</v>
      </c>
      <c r="J34" s="2">
        <f>teachers[[#This Row],[Týždenný maximálny úväzok]]*2</f>
        <v>50</v>
      </c>
      <c r="K34" s="2" t="str">
        <f>teachers[[#This Row],[ID]] &amp; " - " &amp; teachers[[#This Row],[Meno a priezvisko]]</f>
        <v>33 - Učiteľ 33</v>
      </c>
      <c r="L34" s="6" t="b">
        <v>0</v>
      </c>
      <c r="M34" s="6" t="b">
        <v>0</v>
      </c>
      <c r="N34" s="6" t="b">
        <v>0</v>
      </c>
      <c r="O34" s="6" t="b">
        <v>0</v>
      </c>
      <c r="P34" s="6" t="b">
        <v>0</v>
      </c>
      <c r="Q34" s="6" t="b">
        <v>0</v>
      </c>
      <c r="R34" s="6" t="b">
        <v>0</v>
      </c>
      <c r="S34" s="6" t="b">
        <v>0</v>
      </c>
      <c r="T34" s="6" t="b">
        <v>0</v>
      </c>
      <c r="U34" s="6" t="b">
        <v>0</v>
      </c>
      <c r="V34" s="6" t="b">
        <v>0</v>
      </c>
      <c r="W34" s="6" t="b">
        <v>0</v>
      </c>
      <c r="X34" s="6" t="b">
        <v>0</v>
      </c>
      <c r="Y34" s="6" t="b">
        <v>0</v>
      </c>
      <c r="Z34" s="6" t="b">
        <v>0</v>
      </c>
      <c r="AA34" s="6" t="b">
        <v>0</v>
      </c>
      <c r="AB34" s="6" t="b">
        <v>0</v>
      </c>
      <c r="AC34" s="6" t="b">
        <v>0</v>
      </c>
      <c r="AD34" s="6" t="b">
        <v>0</v>
      </c>
      <c r="AE34" s="6" t="b">
        <v>0</v>
      </c>
      <c r="AF34" s="6" t="b">
        <v>0</v>
      </c>
      <c r="AG34" s="6" t="b">
        <v>0</v>
      </c>
      <c r="AH34" s="6" t="b">
        <v>0</v>
      </c>
      <c r="AI34" s="6" t="b">
        <v>0</v>
      </c>
      <c r="AJ34" s="6" t="b">
        <v>0</v>
      </c>
      <c r="AK34" s="6" t="b">
        <v>0</v>
      </c>
      <c r="AL34" s="6" t="b">
        <v>0</v>
      </c>
      <c r="AM34" s="6" t="b">
        <v>1</v>
      </c>
      <c r="AN34" s="6" t="b">
        <v>0</v>
      </c>
      <c r="AO34" s="6" t="b">
        <v>0</v>
      </c>
      <c r="AP34" s="6" t="b">
        <v>0</v>
      </c>
      <c r="AQ34" s="6" t="b">
        <v>1</v>
      </c>
      <c r="AR34" s="6" t="b">
        <v>0</v>
      </c>
      <c r="AS34" s="6" t="b">
        <v>0</v>
      </c>
      <c r="AT34" s="6" t="b">
        <v>0</v>
      </c>
      <c r="AU34" s="6" t="b">
        <v>0</v>
      </c>
      <c r="AV34" s="6" t="b">
        <v>0</v>
      </c>
      <c r="AW34" s="6" t="b">
        <v>0</v>
      </c>
      <c r="AX34" s="6" t="b">
        <v>0</v>
      </c>
      <c r="AY34" s="6" t="b">
        <v>0</v>
      </c>
      <c r="AZ34" s="6" t="b">
        <v>0</v>
      </c>
      <c r="BA34" s="6" t="b">
        <v>0</v>
      </c>
      <c r="BB34" s="6" t="b">
        <v>0</v>
      </c>
      <c r="BC34" s="6" t="b">
        <v>0</v>
      </c>
      <c r="BD34" s="6" t="b">
        <v>0</v>
      </c>
      <c r="BE34" s="6" t="b">
        <v>0</v>
      </c>
      <c r="BF34" s="6" t="b">
        <v>0</v>
      </c>
      <c r="BG34" s="6" t="b">
        <v>0</v>
      </c>
      <c r="BH34" s="6" t="b">
        <v>0</v>
      </c>
      <c r="BI34" s="6" t="b">
        <v>0</v>
      </c>
    </row>
    <row r="35" spans="1:61" x14ac:dyDescent="0.25">
      <c r="A35" s="2">
        <v>34</v>
      </c>
      <c r="B35" s="2" t="s">
        <v>277</v>
      </c>
      <c r="C35" s="2" t="s">
        <v>242</v>
      </c>
      <c r="E35" s="2">
        <v>19</v>
      </c>
      <c r="F35" s="2">
        <v>22</v>
      </c>
      <c r="G35" s="2">
        <v>25</v>
      </c>
      <c r="H35" s="2">
        <f>teachers[[#This Row],[Týždenný minimálny úväzok]]*2</f>
        <v>38</v>
      </c>
      <c r="I35" s="2">
        <f>teachers[[#This Row],[Týždenný cieľový úväzok]]*2</f>
        <v>44</v>
      </c>
      <c r="J35" s="2">
        <f>teachers[[#This Row],[Týždenný maximálny úväzok]]*2</f>
        <v>50</v>
      </c>
      <c r="K35" s="2" t="str">
        <f>teachers[[#This Row],[ID]] &amp; " - " &amp; teachers[[#This Row],[Meno a priezvisko]]</f>
        <v>34 - Učiteľ 34</v>
      </c>
      <c r="L35" s="6" t="b">
        <v>0</v>
      </c>
      <c r="M35" s="6" t="b">
        <v>0</v>
      </c>
      <c r="N35" s="6" t="b">
        <v>0</v>
      </c>
      <c r="O35" s="6" t="b">
        <v>0</v>
      </c>
      <c r="P35" s="6" t="b">
        <v>0</v>
      </c>
      <c r="Q35" s="6" t="b">
        <v>0</v>
      </c>
      <c r="R35" s="6" t="b">
        <v>1</v>
      </c>
      <c r="S35" s="6" t="b">
        <v>0</v>
      </c>
      <c r="T35" s="6" t="b">
        <v>0</v>
      </c>
      <c r="U35" s="6" t="b">
        <v>0</v>
      </c>
      <c r="V35" s="6" t="b">
        <v>0</v>
      </c>
      <c r="W35" s="6" t="b">
        <v>0</v>
      </c>
      <c r="X35" s="6" t="b">
        <v>0</v>
      </c>
      <c r="Y35" s="6" t="b">
        <v>0</v>
      </c>
      <c r="Z35" s="6" t="b">
        <v>0</v>
      </c>
      <c r="AA35" s="6" t="b">
        <v>0</v>
      </c>
      <c r="AB35" s="6" t="b">
        <v>0</v>
      </c>
      <c r="AC35" s="6" t="b">
        <v>0</v>
      </c>
      <c r="AD35" s="6" t="b">
        <v>0</v>
      </c>
      <c r="AE35" s="6" t="b">
        <v>0</v>
      </c>
      <c r="AF35" s="6" t="b">
        <v>1</v>
      </c>
      <c r="AG35" s="6" t="b">
        <v>0</v>
      </c>
      <c r="AH35" s="6" t="b">
        <v>0</v>
      </c>
      <c r="AI35" s="6" t="b">
        <v>0</v>
      </c>
      <c r="AJ35" s="6" t="b">
        <v>0</v>
      </c>
      <c r="AK35" s="6" t="b">
        <v>0</v>
      </c>
      <c r="AL35" s="6" t="b">
        <v>0</v>
      </c>
      <c r="AM35" s="6" t="b">
        <v>0</v>
      </c>
      <c r="AN35" s="6" t="b">
        <v>0</v>
      </c>
      <c r="AO35" s="6" t="b">
        <v>0</v>
      </c>
      <c r="AP35" s="6" t="b">
        <v>0</v>
      </c>
      <c r="AQ35" s="6" t="b">
        <v>0</v>
      </c>
      <c r="AR35" s="6" t="b">
        <v>0</v>
      </c>
      <c r="AS35" s="6" t="b">
        <v>0</v>
      </c>
      <c r="AT35" s="6" t="b">
        <v>0</v>
      </c>
      <c r="AU35" s="6" t="b">
        <v>0</v>
      </c>
      <c r="AV35" s="6" t="b">
        <v>0</v>
      </c>
      <c r="AW35" s="6" t="b">
        <v>0</v>
      </c>
      <c r="AX35" s="6" t="b">
        <v>0</v>
      </c>
      <c r="AY35" s="6" t="b">
        <v>0</v>
      </c>
      <c r="AZ35" s="6" t="b">
        <v>1</v>
      </c>
      <c r="BA35" s="6" t="b">
        <v>0</v>
      </c>
      <c r="BB35" s="6" t="b">
        <v>0</v>
      </c>
      <c r="BC35" s="6" t="b">
        <v>0</v>
      </c>
      <c r="BD35" s="6" t="b">
        <v>0</v>
      </c>
      <c r="BE35" s="6" t="b">
        <v>0</v>
      </c>
      <c r="BF35" s="6" t="b">
        <v>0</v>
      </c>
      <c r="BG35" s="6" t="b">
        <v>0</v>
      </c>
      <c r="BH35" s="6" t="b">
        <v>0</v>
      </c>
      <c r="BI35" s="6" t="b">
        <v>0</v>
      </c>
    </row>
    <row r="36" spans="1:61" x14ac:dyDescent="0.25">
      <c r="A36" s="2">
        <v>35</v>
      </c>
      <c r="B36" s="2" t="s">
        <v>278</v>
      </c>
      <c r="C36" s="2" t="s">
        <v>242</v>
      </c>
      <c r="E36" s="2">
        <v>20</v>
      </c>
      <c r="F36" s="2">
        <v>23</v>
      </c>
      <c r="G36" s="2">
        <v>26</v>
      </c>
      <c r="H36" s="2">
        <f>teachers[[#This Row],[Týždenný minimálny úväzok]]*2</f>
        <v>40</v>
      </c>
      <c r="I36" s="2">
        <f>teachers[[#This Row],[Týždenný cieľový úväzok]]*2</f>
        <v>46</v>
      </c>
      <c r="J36" s="2">
        <f>teachers[[#This Row],[Týždenný maximálny úväzok]]*2</f>
        <v>52</v>
      </c>
      <c r="K36" s="2" t="str">
        <f>teachers[[#This Row],[ID]] &amp; " - " &amp; teachers[[#This Row],[Meno a priezvisko]]</f>
        <v>35 - Učiteľ 35</v>
      </c>
      <c r="L36" s="6" t="b">
        <v>1</v>
      </c>
      <c r="M36" s="6" t="b">
        <v>0</v>
      </c>
      <c r="N36" s="6" t="b">
        <v>0</v>
      </c>
      <c r="O36" s="6" t="b">
        <v>0</v>
      </c>
      <c r="P36" s="6" t="b">
        <v>0</v>
      </c>
      <c r="Q36" s="6" t="b">
        <v>0</v>
      </c>
      <c r="R36" s="6" t="b">
        <v>0</v>
      </c>
      <c r="S36" s="6" t="b">
        <v>0</v>
      </c>
      <c r="T36" s="6" t="b">
        <v>0</v>
      </c>
      <c r="U36" s="6" t="b">
        <v>0</v>
      </c>
      <c r="V36" s="6" t="b">
        <v>0</v>
      </c>
      <c r="W36" s="6" t="b">
        <v>0</v>
      </c>
      <c r="X36" s="6" t="b">
        <v>0</v>
      </c>
      <c r="Y36" s="6" t="b">
        <v>0</v>
      </c>
      <c r="Z36" s="6" t="b">
        <v>0</v>
      </c>
      <c r="AA36" s="6" t="b">
        <v>0</v>
      </c>
      <c r="AB36" s="6" t="b">
        <v>0</v>
      </c>
      <c r="AC36" s="6" t="b">
        <v>0</v>
      </c>
      <c r="AD36" s="6" t="b">
        <v>0</v>
      </c>
      <c r="AE36" s="6" t="b">
        <v>0</v>
      </c>
      <c r="AF36" s="6" t="b">
        <v>0</v>
      </c>
      <c r="AG36" s="6" t="b">
        <v>0</v>
      </c>
      <c r="AH36" s="6" t="b">
        <v>0</v>
      </c>
      <c r="AI36" s="6" t="b">
        <v>0</v>
      </c>
      <c r="AJ36" s="6" t="b">
        <v>0</v>
      </c>
      <c r="AK36" s="6" t="b">
        <v>0</v>
      </c>
      <c r="AL36" s="6" t="b">
        <v>1</v>
      </c>
      <c r="AM36" s="6" t="b">
        <v>0</v>
      </c>
      <c r="AN36" s="6" t="b">
        <v>0</v>
      </c>
      <c r="AO36" s="6" t="b">
        <v>0</v>
      </c>
      <c r="AP36" s="6" t="b">
        <v>0</v>
      </c>
      <c r="AQ36" s="6" t="b">
        <v>0</v>
      </c>
      <c r="AR36" s="6" t="b">
        <v>0</v>
      </c>
      <c r="AS36" s="6" t="b">
        <v>0</v>
      </c>
      <c r="AT36" s="6" t="b">
        <v>0</v>
      </c>
      <c r="AU36" s="6" t="b">
        <v>0</v>
      </c>
      <c r="AV36" s="6" t="b">
        <v>0</v>
      </c>
      <c r="AW36" s="6" t="b">
        <v>0</v>
      </c>
      <c r="AX36" s="6" t="b">
        <v>0</v>
      </c>
      <c r="AY36" s="6" t="b">
        <v>0</v>
      </c>
      <c r="AZ36" s="6" t="b">
        <v>0</v>
      </c>
      <c r="BA36" s="6" t="b">
        <v>0</v>
      </c>
      <c r="BB36" s="6" t="b">
        <v>0</v>
      </c>
      <c r="BC36" s="6" t="b">
        <v>0</v>
      </c>
      <c r="BD36" s="6" t="b">
        <v>0</v>
      </c>
      <c r="BE36" s="6" t="b">
        <v>0</v>
      </c>
      <c r="BF36" s="6" t="b">
        <v>0</v>
      </c>
      <c r="BG36" s="6" t="b">
        <v>0</v>
      </c>
      <c r="BH36" s="6" t="b">
        <v>0</v>
      </c>
      <c r="BI36" s="6" t="b">
        <v>0</v>
      </c>
    </row>
    <row r="37" spans="1:61" x14ac:dyDescent="0.25">
      <c r="A37" s="2">
        <v>36</v>
      </c>
      <c r="B37" s="2" t="s">
        <v>279</v>
      </c>
      <c r="E37" s="2">
        <v>9.5</v>
      </c>
      <c r="F37" s="2">
        <v>12.5</v>
      </c>
      <c r="G37" s="2">
        <v>15.5</v>
      </c>
      <c r="H37" s="2">
        <f>teachers[[#This Row],[Týždenný minimálny úväzok]]*2</f>
        <v>19</v>
      </c>
      <c r="I37" s="2">
        <f>teachers[[#This Row],[Týždenný cieľový úväzok]]*2</f>
        <v>25</v>
      </c>
      <c r="J37" s="2">
        <f>teachers[[#This Row],[Týždenný maximálny úväzok]]*2</f>
        <v>31</v>
      </c>
      <c r="K37" s="2" t="str">
        <f>teachers[[#This Row],[ID]] &amp; " - " &amp; teachers[[#This Row],[Meno a priezvisko]]</f>
        <v>36 - Učiteľ 36</v>
      </c>
      <c r="L37" s="6" t="b">
        <v>0</v>
      </c>
      <c r="M37" s="6" t="b">
        <v>0</v>
      </c>
      <c r="N37" s="6" t="b">
        <v>0</v>
      </c>
      <c r="O37" s="6" t="b">
        <v>0</v>
      </c>
      <c r="P37" s="6" t="b">
        <v>1</v>
      </c>
      <c r="Q37" s="6" t="b">
        <v>0</v>
      </c>
      <c r="R37" s="6" t="b">
        <v>0</v>
      </c>
      <c r="S37" s="6" t="b">
        <v>0</v>
      </c>
      <c r="T37" s="6" t="b">
        <v>0</v>
      </c>
      <c r="U37" s="6" t="b">
        <v>0</v>
      </c>
      <c r="V37" s="6" t="b">
        <v>0</v>
      </c>
      <c r="W37" s="6" t="b">
        <v>0</v>
      </c>
      <c r="X37" s="6" t="b">
        <v>0</v>
      </c>
      <c r="Y37" s="6" t="b">
        <v>1</v>
      </c>
      <c r="Z37" s="6" t="b">
        <v>1</v>
      </c>
      <c r="AA37" s="6" t="b">
        <v>1</v>
      </c>
      <c r="AB37" s="6" t="b">
        <v>1</v>
      </c>
      <c r="AC37" s="6" t="b">
        <v>0</v>
      </c>
      <c r="AD37" s="6" t="b">
        <v>0</v>
      </c>
      <c r="AE37" s="6" t="b">
        <v>0</v>
      </c>
      <c r="AF37" s="6" t="b">
        <v>0</v>
      </c>
      <c r="AG37" s="6" t="b">
        <v>0</v>
      </c>
      <c r="AH37" s="6" t="b">
        <v>0</v>
      </c>
      <c r="AI37" s="6" t="b">
        <v>0</v>
      </c>
      <c r="AJ37" s="6" t="b">
        <v>0</v>
      </c>
      <c r="AK37" s="6" t="b">
        <v>0</v>
      </c>
      <c r="AL37" s="6" t="b">
        <v>0</v>
      </c>
      <c r="AM37" s="6" t="b">
        <v>0</v>
      </c>
      <c r="AN37" s="6" t="b">
        <v>0</v>
      </c>
      <c r="AO37" s="6" t="b">
        <v>0</v>
      </c>
      <c r="AP37" s="6" t="b">
        <v>0</v>
      </c>
      <c r="AQ37" s="6" t="b">
        <v>0</v>
      </c>
      <c r="AR37" s="6" t="b">
        <v>0</v>
      </c>
      <c r="AS37" s="6" t="b">
        <v>0</v>
      </c>
      <c r="AT37" s="6" t="b">
        <v>0</v>
      </c>
      <c r="AU37" s="6" t="b">
        <v>0</v>
      </c>
      <c r="AV37" s="6" t="b">
        <v>0</v>
      </c>
      <c r="AW37" s="6" t="b">
        <v>0</v>
      </c>
      <c r="AX37" s="6" t="b">
        <v>0</v>
      </c>
      <c r="AY37" s="6" t="b">
        <v>0</v>
      </c>
      <c r="AZ37" s="6" t="b">
        <v>0</v>
      </c>
      <c r="BA37" s="6" t="b">
        <v>0</v>
      </c>
      <c r="BB37" s="6" t="b">
        <v>0</v>
      </c>
      <c r="BC37" s="6" t="b">
        <v>0</v>
      </c>
      <c r="BD37" s="6" t="b">
        <v>0</v>
      </c>
      <c r="BE37" s="6" t="b">
        <v>0</v>
      </c>
      <c r="BF37" s="6" t="b">
        <v>0</v>
      </c>
      <c r="BG37" s="6" t="b">
        <v>0</v>
      </c>
      <c r="BH37" s="6" t="b">
        <v>0</v>
      </c>
      <c r="BI37" s="6" t="b">
        <v>0</v>
      </c>
    </row>
    <row r="38" spans="1:61" x14ac:dyDescent="0.25">
      <c r="A38" s="2">
        <v>37</v>
      </c>
      <c r="B38" s="2" t="s">
        <v>280</v>
      </c>
      <c r="C38" s="2" t="s">
        <v>240</v>
      </c>
      <c r="E38" s="2">
        <v>21.5</v>
      </c>
      <c r="F38" s="2">
        <v>24.5</v>
      </c>
      <c r="G38" s="2">
        <v>27.5</v>
      </c>
      <c r="H38" s="2">
        <f>teachers[[#This Row],[Týždenný minimálny úväzok]]*2</f>
        <v>43</v>
      </c>
      <c r="I38" s="2">
        <f>teachers[[#This Row],[Týždenný cieľový úväzok]]*2</f>
        <v>49</v>
      </c>
      <c r="J38" s="2">
        <f>teachers[[#This Row],[Týždenný maximálny úväzok]]*2</f>
        <v>55</v>
      </c>
      <c r="K38" s="2" t="str">
        <f>teachers[[#This Row],[ID]] &amp; " - " &amp; teachers[[#This Row],[Meno a priezvisko]]</f>
        <v>37 - Učiteľ 37</v>
      </c>
      <c r="L38" s="6" t="b">
        <v>0</v>
      </c>
      <c r="M38" s="6" t="b">
        <v>0</v>
      </c>
      <c r="N38" s="6" t="b">
        <v>0</v>
      </c>
      <c r="O38" s="6" t="b">
        <v>0</v>
      </c>
      <c r="P38" s="6" t="b">
        <v>1</v>
      </c>
      <c r="Q38" s="6" t="b">
        <v>1</v>
      </c>
      <c r="R38" s="6" t="b">
        <v>0</v>
      </c>
      <c r="S38" s="6" t="b">
        <v>0</v>
      </c>
      <c r="T38" s="6" t="b">
        <v>0</v>
      </c>
      <c r="U38" s="6" t="b">
        <v>0</v>
      </c>
      <c r="V38" s="6" t="b">
        <v>0</v>
      </c>
      <c r="W38" s="6" t="b">
        <v>0</v>
      </c>
      <c r="X38" s="6" t="b">
        <v>0</v>
      </c>
      <c r="Y38" s="6" t="b">
        <v>0</v>
      </c>
      <c r="Z38" s="6" t="b">
        <v>1</v>
      </c>
      <c r="AA38" s="6" t="b">
        <v>0</v>
      </c>
      <c r="AB38" s="6" t="b">
        <v>1</v>
      </c>
      <c r="AC38" s="6" t="b">
        <v>0</v>
      </c>
      <c r="AD38" s="6" t="b">
        <v>0</v>
      </c>
      <c r="AE38" s="6" t="b">
        <v>0</v>
      </c>
      <c r="AF38" s="6" t="b">
        <v>0</v>
      </c>
      <c r="AG38" s="6" t="b">
        <v>0</v>
      </c>
      <c r="AH38" s="6" t="b">
        <v>0</v>
      </c>
      <c r="AI38" s="6" t="b">
        <v>0</v>
      </c>
      <c r="AJ38" s="6" t="b">
        <v>0</v>
      </c>
      <c r="AK38" s="6" t="b">
        <v>0</v>
      </c>
      <c r="AL38" s="6" t="b">
        <v>0</v>
      </c>
      <c r="AM38" s="6" t="b">
        <v>0</v>
      </c>
      <c r="AN38" s="6" t="b">
        <v>0</v>
      </c>
      <c r="AO38" s="6" t="b">
        <v>0</v>
      </c>
      <c r="AP38" s="6" t="b">
        <v>0</v>
      </c>
      <c r="AQ38" s="6" t="b">
        <v>0</v>
      </c>
      <c r="AR38" s="6" t="b">
        <v>0</v>
      </c>
      <c r="AS38" s="6" t="b">
        <v>0</v>
      </c>
      <c r="AT38" s="6" t="b">
        <v>0</v>
      </c>
      <c r="AU38" s="6" t="b">
        <v>1</v>
      </c>
      <c r="AV38" s="6" t="b">
        <v>0</v>
      </c>
      <c r="AW38" s="6" t="b">
        <v>0</v>
      </c>
      <c r="AX38" s="6" t="b">
        <v>0</v>
      </c>
      <c r="AY38" s="6" t="b">
        <v>0</v>
      </c>
      <c r="AZ38" s="6" t="b">
        <v>0</v>
      </c>
      <c r="BA38" s="6" t="b">
        <v>0</v>
      </c>
      <c r="BB38" s="6" t="b">
        <v>0</v>
      </c>
      <c r="BC38" s="6" t="b">
        <v>0</v>
      </c>
      <c r="BD38" s="6" t="b">
        <v>0</v>
      </c>
      <c r="BE38" s="6" t="b">
        <v>0</v>
      </c>
      <c r="BF38" s="6" t="b">
        <v>0</v>
      </c>
      <c r="BG38" s="6" t="b">
        <v>0</v>
      </c>
      <c r="BH38" s="6" t="b">
        <v>0</v>
      </c>
      <c r="BI38" s="6" t="b">
        <v>0</v>
      </c>
    </row>
    <row r="41" spans="1:61" x14ac:dyDescent="0.25">
      <c r="R41" s="4"/>
      <c r="S41" s="4"/>
      <c r="T41" s="4"/>
    </row>
    <row r="42" spans="1:61" x14ac:dyDescent="0.25">
      <c r="R42" s="4"/>
      <c r="S42" s="4"/>
      <c r="T4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F977-6CD1-47BF-A291-7F1E3C9B01D1}">
  <dimension ref="A1:AY38"/>
  <sheetViews>
    <sheetView workbookViewId="0">
      <selection activeCell="E31" sqref="E31"/>
    </sheetView>
  </sheetViews>
  <sheetFormatPr defaultRowHeight="15" x14ac:dyDescent="0.25"/>
  <cols>
    <col min="1" max="1" width="16.85546875" style="5" bestFit="1" customWidth="1"/>
    <col min="2" max="16384" width="9.140625" style="2"/>
  </cols>
  <sheetData>
    <row r="1" spans="1:51" s="5" customFormat="1" x14ac:dyDescent="0.25">
      <c r="A1" s="11" t="s">
        <v>235</v>
      </c>
      <c r="B1" s="14" t="str" cm="1">
        <f t="array" ref="B1:AY1">TRANSPOSE(subjects[Skratka])</f>
        <v>ANJ</v>
      </c>
      <c r="C1" s="14" t="str">
        <v>AEC</v>
      </c>
      <c r="D1" s="14" t="str">
        <v>API</v>
      </c>
      <c r="E1" s="14" t="str">
        <v>AUT</v>
      </c>
      <c r="F1" s="14" t="str">
        <v>AOO</v>
      </c>
      <c r="G1" s="14" t="str">
        <v>AUO</v>
      </c>
      <c r="H1" s="14" t="str">
        <v>DEJ</v>
      </c>
      <c r="I1" s="14" t="str">
        <v>DOA</v>
      </c>
      <c r="J1" s="14" t="str">
        <v>DIG</v>
      </c>
      <c r="K1" s="14" t="str">
        <v>EKO</v>
      </c>
      <c r="L1" s="14" t="str">
        <v>ELR</v>
      </c>
      <c r="M1" s="14" t="str">
        <v>ESP</v>
      </c>
      <c r="N1" s="14" t="str">
        <v>EZR</v>
      </c>
      <c r="O1" s="14" t="str">
        <v>ELE</v>
      </c>
      <c r="P1" s="14" t="str">
        <v>EMD</v>
      </c>
      <c r="Q1" s="14" t="str">
        <v>ETS</v>
      </c>
      <c r="R1" s="14" t="str">
        <v>ELK</v>
      </c>
      <c r="S1" s="14" t="str">
        <v>ELG</v>
      </c>
      <c r="T1" s="14" t="str">
        <v>EZZ</v>
      </c>
      <c r="U1" s="14" t="str">
        <v>ETE</v>
      </c>
      <c r="V1" s="14" t="str">
        <v>ETV</v>
      </c>
      <c r="W1" s="14" t="str">
        <v>FYZ</v>
      </c>
      <c r="X1" s="14" t="str">
        <v>GRS</v>
      </c>
      <c r="Y1" s="14" t="str">
        <v>GAJ</v>
      </c>
      <c r="Z1" s="14" t="str">
        <v>CHE</v>
      </c>
      <c r="AA1" s="14" t="str">
        <v>INF</v>
      </c>
      <c r="AB1" s="14" t="str">
        <v>KOR</v>
      </c>
      <c r="AC1" s="14" t="str">
        <v>MAT</v>
      </c>
      <c r="AD1" s="14" t="str">
        <v>MNK</v>
      </c>
      <c r="AE1" s="14" t="str">
        <v>NBV</v>
      </c>
      <c r="AF1" s="14" t="str">
        <v>NEJ</v>
      </c>
      <c r="AG1" s="14" t="str">
        <v>OBN</v>
      </c>
      <c r="AH1" s="14" t="str">
        <v>OAG</v>
      </c>
      <c r="AI1" s="14" t="str">
        <v>PRX</v>
      </c>
      <c r="AJ1" s="14" t="str">
        <v>OVY</v>
      </c>
      <c r="AK1" s="14" t="str">
        <v>PDQ</v>
      </c>
      <c r="AL1" s="14" t="str">
        <v>RIS</v>
      </c>
      <c r="AM1" s="14" t="str">
        <v>RPJ</v>
      </c>
      <c r="AN1" s="14" t="str">
        <v>RVJ</v>
      </c>
      <c r="AO1" s="14" t="str">
        <v>SIE</v>
      </c>
      <c r="AP1" s="14" t="str">
        <v>SJL</v>
      </c>
      <c r="AQ1" s="14" t="str">
        <v>STT</v>
      </c>
      <c r="AR1" s="14" t="str">
        <v>STR</v>
      </c>
      <c r="AS1" s="14" t="str">
        <v>STN</v>
      </c>
      <c r="AT1" s="14" t="str">
        <v>SXX</v>
      </c>
      <c r="AU1" s="14" t="str">
        <v>TCK</v>
      </c>
      <c r="AV1" s="14" t="str">
        <v>TMO</v>
      </c>
      <c r="AW1" s="14" t="str">
        <v>TSV</v>
      </c>
      <c r="AX1" s="14" t="str">
        <v>USP</v>
      </c>
      <c r="AY1" s="15" t="str">
        <v>CHZ</v>
      </c>
    </row>
    <row r="2" spans="1:51" x14ac:dyDescent="0.25">
      <c r="A2" s="12" t="str" cm="1">
        <f t="array" ref="A2:A38">teachers[Meno a priezvisko]</f>
        <v>Učiteľ 1</v>
      </c>
      <c r="B2" s="7">
        <v>1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8">
        <v>0</v>
      </c>
    </row>
    <row r="3" spans="1:51" x14ac:dyDescent="0.25">
      <c r="A3" s="12" t="str">
        <v>Učiteľ 2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1</v>
      </c>
      <c r="AX3" s="7">
        <v>0</v>
      </c>
      <c r="AY3" s="8">
        <v>0</v>
      </c>
    </row>
    <row r="4" spans="1:51" x14ac:dyDescent="0.25">
      <c r="A4" s="12" t="str">
        <v>Učiteľ 3</v>
      </c>
      <c r="B4" s="7">
        <v>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1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8">
        <v>0</v>
      </c>
    </row>
    <row r="5" spans="1:51" x14ac:dyDescent="0.25">
      <c r="A5" s="12" t="str">
        <v>Učiteľ 4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1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8">
        <v>0</v>
      </c>
    </row>
    <row r="6" spans="1:51" x14ac:dyDescent="0.25">
      <c r="A6" s="12" t="str">
        <v>Učiteľ 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8">
        <v>0</v>
      </c>
    </row>
    <row r="7" spans="1:51" x14ac:dyDescent="0.25">
      <c r="A7" s="12" t="str">
        <v>Učiteľ 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1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8">
        <v>0</v>
      </c>
    </row>
    <row r="8" spans="1:51" x14ac:dyDescent="0.25">
      <c r="A8" s="12" t="str">
        <v>Učiteľ 7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1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1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8">
        <v>0</v>
      </c>
    </row>
    <row r="9" spans="1:51" x14ac:dyDescent="0.25">
      <c r="A9" s="12" t="str">
        <v>Učiteľ 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1</v>
      </c>
      <c r="AX9" s="7">
        <v>0</v>
      </c>
      <c r="AY9" s="8">
        <v>0</v>
      </c>
    </row>
    <row r="10" spans="1:51" x14ac:dyDescent="0.25">
      <c r="A10" s="12" t="str">
        <v>Učiteľ 9</v>
      </c>
      <c r="B10" s="7">
        <v>0</v>
      </c>
      <c r="C10" s="7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1</v>
      </c>
      <c r="M10" s="7">
        <v>0</v>
      </c>
      <c r="N10" s="7">
        <v>1</v>
      </c>
      <c r="O10" s="7">
        <v>1</v>
      </c>
      <c r="P10" s="7">
        <v>0</v>
      </c>
      <c r="Q10" s="7">
        <v>0</v>
      </c>
      <c r="R10" s="7">
        <v>1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8">
        <v>0</v>
      </c>
    </row>
    <row r="11" spans="1:51" x14ac:dyDescent="0.25">
      <c r="A11" s="12" t="str">
        <v>Učiteľ 10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1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1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8">
        <v>0</v>
      </c>
    </row>
    <row r="12" spans="1:51" x14ac:dyDescent="0.25">
      <c r="A12" s="12" t="str">
        <v>Učiteľ 11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</v>
      </c>
      <c r="M12" s="7">
        <v>0</v>
      </c>
      <c r="N12" s="7">
        <v>0</v>
      </c>
      <c r="O12" s="7">
        <v>3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1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8">
        <v>0</v>
      </c>
    </row>
    <row r="13" spans="1:51" x14ac:dyDescent="0.25">
      <c r="A13" s="12" t="str">
        <v>Učiteľ 12</v>
      </c>
      <c r="B13" s="7">
        <v>1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8">
        <v>0</v>
      </c>
    </row>
    <row r="14" spans="1:51" x14ac:dyDescent="0.25">
      <c r="A14" s="12" t="str">
        <v>Učiteľ 13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1</v>
      </c>
      <c r="AY14" s="8">
        <v>0</v>
      </c>
    </row>
    <row r="15" spans="1:51" x14ac:dyDescent="0.25">
      <c r="A15" s="12" t="str">
        <v>Učiteľ 14</v>
      </c>
      <c r="B15" s="7">
        <v>0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</v>
      </c>
      <c r="P15" s="7">
        <v>0</v>
      </c>
      <c r="Q15" s="7">
        <v>0</v>
      </c>
      <c r="R15" s="7">
        <v>1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1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8">
        <v>0</v>
      </c>
    </row>
    <row r="16" spans="1:51" x14ac:dyDescent="0.25">
      <c r="A16" s="12" t="str">
        <v>Učiteľ 15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1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8">
        <v>0</v>
      </c>
    </row>
    <row r="17" spans="1:51" x14ac:dyDescent="0.25">
      <c r="A17" s="12" t="str">
        <v>Učiteľ 16</v>
      </c>
      <c r="B17" s="7">
        <v>0</v>
      </c>
      <c r="C17" s="7">
        <v>0</v>
      </c>
      <c r="D17" s="7">
        <v>0</v>
      </c>
      <c r="E17" s="7">
        <v>0</v>
      </c>
      <c r="F17" s="7">
        <v>1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1</v>
      </c>
      <c r="Y17" s="7">
        <v>0</v>
      </c>
      <c r="Z17" s="7">
        <v>0</v>
      </c>
      <c r="AA17" s="7">
        <v>1</v>
      </c>
      <c r="AB17" s="7">
        <v>0</v>
      </c>
      <c r="AC17" s="7">
        <v>0</v>
      </c>
      <c r="AD17" s="7">
        <v>1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1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1</v>
      </c>
      <c r="AS17" s="7">
        <v>0</v>
      </c>
      <c r="AT17" s="7">
        <v>0</v>
      </c>
      <c r="AU17" s="7">
        <v>1</v>
      </c>
      <c r="AV17" s="7">
        <v>0</v>
      </c>
      <c r="AW17" s="7">
        <v>0</v>
      </c>
      <c r="AX17" s="7">
        <v>0</v>
      </c>
      <c r="AY17" s="8">
        <v>0</v>
      </c>
    </row>
    <row r="18" spans="1:51" x14ac:dyDescent="0.25">
      <c r="A18" s="12" t="str">
        <v>Učiteľ 17</v>
      </c>
      <c r="B18" s="7">
        <v>0</v>
      </c>
      <c r="C18" s="7">
        <v>0</v>
      </c>
      <c r="D18" s="7">
        <v>0</v>
      </c>
      <c r="E18" s="7">
        <v>0</v>
      </c>
      <c r="F18" s="7">
        <v>1</v>
      </c>
      <c r="G18" s="7">
        <v>1</v>
      </c>
      <c r="H18" s="7">
        <v>0</v>
      </c>
      <c r="I18" s="7">
        <v>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1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0</v>
      </c>
      <c r="AW18" s="7">
        <v>0</v>
      </c>
      <c r="AX18" s="7">
        <v>0</v>
      </c>
      <c r="AY18" s="8">
        <v>0</v>
      </c>
    </row>
    <row r="19" spans="1:51" x14ac:dyDescent="0.25">
      <c r="A19" s="12" t="str">
        <v>Učiteľ 18</v>
      </c>
      <c r="B19" s="7">
        <v>0</v>
      </c>
      <c r="C19" s="7">
        <v>1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1</v>
      </c>
      <c r="V19" s="7">
        <v>0</v>
      </c>
      <c r="W19" s="7">
        <v>0</v>
      </c>
      <c r="X19" s="7">
        <v>0</v>
      </c>
      <c r="Y19" s="7">
        <v>1</v>
      </c>
      <c r="Z19" s="7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1</v>
      </c>
      <c r="AI19" s="7">
        <v>0</v>
      </c>
      <c r="AJ19" s="7">
        <v>0</v>
      </c>
      <c r="AK19" s="7">
        <v>0</v>
      </c>
      <c r="AL19" s="7">
        <v>0</v>
      </c>
      <c r="AM19" s="7">
        <v>1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8">
        <v>0</v>
      </c>
    </row>
    <row r="20" spans="1:51" x14ac:dyDescent="0.25">
      <c r="A20" s="12" t="str">
        <v>Učiteľ 19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1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8">
        <v>0</v>
      </c>
    </row>
    <row r="21" spans="1:51" x14ac:dyDescent="0.25">
      <c r="A21" s="12" t="str">
        <v>Učiteľ 20</v>
      </c>
      <c r="B21" s="7">
        <v>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1</v>
      </c>
      <c r="AB21" s="7">
        <v>0</v>
      </c>
      <c r="AC21" s="7">
        <v>1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1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8">
        <v>0</v>
      </c>
    </row>
    <row r="22" spans="1:51" x14ac:dyDescent="0.25">
      <c r="A22" s="12" t="str">
        <v>Učiteľ 21</v>
      </c>
      <c r="B22" s="7">
        <v>0</v>
      </c>
      <c r="C22" s="7">
        <v>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1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1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1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8">
        <v>0</v>
      </c>
    </row>
    <row r="23" spans="1:51" x14ac:dyDescent="0.25">
      <c r="A23" s="12" t="str">
        <v>Učiteľ 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1</v>
      </c>
      <c r="M23" s="7">
        <v>1</v>
      </c>
      <c r="N23" s="7">
        <v>1</v>
      </c>
      <c r="O23" s="7">
        <v>0</v>
      </c>
      <c r="P23" s="7">
        <v>0</v>
      </c>
      <c r="Q23" s="7">
        <v>1</v>
      </c>
      <c r="R23" s="7">
        <v>1</v>
      </c>
      <c r="S23" s="7">
        <v>1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1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8">
        <v>0</v>
      </c>
    </row>
    <row r="24" spans="1:51" x14ac:dyDescent="0.25">
      <c r="A24" s="12" t="str">
        <v>Učiteľ 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8">
        <v>0</v>
      </c>
    </row>
    <row r="25" spans="1:51" x14ac:dyDescent="0.25">
      <c r="A25" s="12" t="str">
        <v>Učiteľ 24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1</v>
      </c>
      <c r="X25" s="7">
        <v>1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1</v>
      </c>
      <c r="AR25" s="7">
        <v>0</v>
      </c>
      <c r="AS25" s="7">
        <v>1</v>
      </c>
      <c r="AT25" s="7">
        <v>0</v>
      </c>
      <c r="AU25" s="7">
        <v>1</v>
      </c>
      <c r="AV25" s="7">
        <v>1</v>
      </c>
      <c r="AW25" s="7">
        <v>0</v>
      </c>
      <c r="AX25" s="7">
        <v>0</v>
      </c>
      <c r="AY25" s="8">
        <v>0</v>
      </c>
    </row>
    <row r="26" spans="1:51" x14ac:dyDescent="0.25">
      <c r="A26" s="12" t="str">
        <v>Učiteľ 25</v>
      </c>
      <c r="B26" s="7">
        <v>0</v>
      </c>
      <c r="C26" s="7">
        <v>0</v>
      </c>
      <c r="D26" s="7">
        <v>0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1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1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1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1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1</v>
      </c>
      <c r="AV26" s="7">
        <v>0</v>
      </c>
      <c r="AW26" s="7">
        <v>0</v>
      </c>
      <c r="AX26" s="7">
        <v>0</v>
      </c>
      <c r="AY26" s="8">
        <v>0</v>
      </c>
    </row>
    <row r="27" spans="1:51" x14ac:dyDescent="0.25">
      <c r="A27" s="12" t="str">
        <v>Učiteľ 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1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1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8">
        <v>0</v>
      </c>
    </row>
    <row r="28" spans="1:51" x14ac:dyDescent="0.25">
      <c r="A28" s="12" t="str">
        <v>Učiteľ 27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1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1</v>
      </c>
      <c r="AV28" s="7">
        <v>0</v>
      </c>
      <c r="AW28" s="7">
        <v>0</v>
      </c>
      <c r="AX28" s="7">
        <v>0</v>
      </c>
      <c r="AY28" s="8">
        <v>0</v>
      </c>
    </row>
    <row r="29" spans="1:51" x14ac:dyDescent="0.25">
      <c r="A29" s="12" t="str">
        <v>Učiteľ 28</v>
      </c>
      <c r="B29" s="7">
        <v>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1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8">
        <v>1</v>
      </c>
    </row>
    <row r="30" spans="1:51" x14ac:dyDescent="0.25">
      <c r="A30" s="12" t="str">
        <v>Učiteľ 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1</v>
      </c>
      <c r="AR30" s="7">
        <v>1</v>
      </c>
      <c r="AS30" s="7">
        <v>0</v>
      </c>
      <c r="AT30" s="7">
        <v>0</v>
      </c>
      <c r="AU30" s="7">
        <v>1</v>
      </c>
      <c r="AV30" s="7">
        <v>0</v>
      </c>
      <c r="AW30" s="7">
        <v>0</v>
      </c>
      <c r="AX30" s="7">
        <v>0</v>
      </c>
      <c r="AY30" s="8">
        <v>0</v>
      </c>
    </row>
    <row r="31" spans="1:51" x14ac:dyDescent="0.25">
      <c r="A31" s="12" t="str">
        <v>Učiteľ 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1</v>
      </c>
      <c r="U31" s="7">
        <v>0</v>
      </c>
      <c r="V31" s="7">
        <v>0</v>
      </c>
      <c r="W31" s="7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1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8">
        <v>0</v>
      </c>
    </row>
    <row r="32" spans="1:51" x14ac:dyDescent="0.25">
      <c r="A32" s="12" t="str">
        <v>Učiteľ 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7">
        <v>0</v>
      </c>
      <c r="Y32" s="7">
        <v>0</v>
      </c>
      <c r="Z32" s="7">
        <v>0</v>
      </c>
      <c r="AA32" s="7">
        <v>1</v>
      </c>
      <c r="AB32" s="7">
        <v>0</v>
      </c>
      <c r="AC32" s="7">
        <v>1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8">
        <v>0</v>
      </c>
    </row>
    <row r="33" spans="1:51" x14ac:dyDescent="0.25">
      <c r="A33" s="12" t="str">
        <v>Učiteľ 32</v>
      </c>
      <c r="B33" s="7">
        <v>1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1</v>
      </c>
      <c r="AH33" s="7">
        <v>1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8">
        <v>0</v>
      </c>
    </row>
    <row r="34" spans="1:51" x14ac:dyDescent="0.25">
      <c r="A34" s="12" t="str">
        <v>Učiteľ 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1</v>
      </c>
      <c r="AD34" s="7">
        <v>0</v>
      </c>
      <c r="AE34" s="7">
        <v>0</v>
      </c>
      <c r="AF34" s="7">
        <v>0</v>
      </c>
      <c r="AG34" s="7">
        <v>1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8">
        <v>0</v>
      </c>
    </row>
    <row r="35" spans="1:51" x14ac:dyDescent="0.25">
      <c r="A35" s="12" t="str">
        <v>Učiteľ 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1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8">
        <v>0</v>
      </c>
    </row>
    <row r="36" spans="1:51" x14ac:dyDescent="0.25">
      <c r="A36" s="12" t="str">
        <v>Učiteľ 35</v>
      </c>
      <c r="B36" s="7">
        <v>1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1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8">
        <v>0</v>
      </c>
    </row>
    <row r="37" spans="1:51" x14ac:dyDescent="0.25">
      <c r="A37" s="12" t="str">
        <v>Učiteľ 36</v>
      </c>
      <c r="B37" s="7">
        <v>0</v>
      </c>
      <c r="C37" s="7">
        <v>0</v>
      </c>
      <c r="D37" s="7">
        <v>0</v>
      </c>
      <c r="E37" s="7">
        <v>0</v>
      </c>
      <c r="F37" s="7">
        <v>1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</v>
      </c>
      <c r="P37" s="7">
        <v>1</v>
      </c>
      <c r="Q37" s="7">
        <v>1</v>
      </c>
      <c r="R37" s="7">
        <v>1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8">
        <v>0</v>
      </c>
    </row>
    <row r="38" spans="1:51" x14ac:dyDescent="0.25">
      <c r="A38" s="13" t="str">
        <v>Učiteľ 37</v>
      </c>
      <c r="B38" s="9">
        <v>0</v>
      </c>
      <c r="C38" s="9">
        <v>0</v>
      </c>
      <c r="D38" s="9">
        <v>0</v>
      </c>
      <c r="E38" s="9">
        <v>0</v>
      </c>
      <c r="F38" s="9">
        <v>1</v>
      </c>
      <c r="G38" s="9">
        <v>1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1</v>
      </c>
      <c r="Q38" s="9">
        <v>0</v>
      </c>
      <c r="R38" s="9">
        <v>1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1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1A83-D183-4D8A-9E36-DD3DD874815B}">
  <dimension ref="A1:B51"/>
  <sheetViews>
    <sheetView tabSelected="1" workbookViewId="0">
      <selection activeCell="E22" sqref="E22"/>
    </sheetView>
  </sheetViews>
  <sheetFormatPr defaultRowHeight="15" x14ac:dyDescent="0.25"/>
  <cols>
    <col min="1" max="1" width="37.5703125" bestFit="1" customWidth="1"/>
    <col min="2" max="2" width="12.1406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2" t="s">
        <v>3</v>
      </c>
    </row>
    <row r="3" spans="1:2" x14ac:dyDescent="0.25">
      <c r="A3" s="3" t="s">
        <v>4</v>
      </c>
      <c r="B3" s="2" t="s">
        <v>5</v>
      </c>
    </row>
    <row r="4" spans="1:2" x14ac:dyDescent="0.25">
      <c r="A4" s="3" t="s">
        <v>6</v>
      </c>
      <c r="B4" s="2" t="s">
        <v>7</v>
      </c>
    </row>
    <row r="5" spans="1:2" x14ac:dyDescent="0.25">
      <c r="A5" s="3" t="s">
        <v>8</v>
      </c>
      <c r="B5" s="2" t="s">
        <v>9</v>
      </c>
    </row>
    <row r="6" spans="1:2" x14ac:dyDescent="0.25">
      <c r="A6" s="3" t="s">
        <v>10</v>
      </c>
      <c r="B6" s="2" t="s">
        <v>11</v>
      </c>
    </row>
    <row r="7" spans="1:2" x14ac:dyDescent="0.25">
      <c r="A7" s="3" t="s">
        <v>12</v>
      </c>
      <c r="B7" s="2" t="s">
        <v>13</v>
      </c>
    </row>
    <row r="8" spans="1:2" x14ac:dyDescent="0.25">
      <c r="A8" s="3" t="s">
        <v>14</v>
      </c>
      <c r="B8" s="2" t="s">
        <v>15</v>
      </c>
    </row>
    <row r="9" spans="1:2" x14ac:dyDescent="0.25">
      <c r="A9" s="3" t="s">
        <v>16</v>
      </c>
      <c r="B9" s="2" t="s">
        <v>17</v>
      </c>
    </row>
    <row r="10" spans="1:2" x14ac:dyDescent="0.25">
      <c r="A10" s="3" t="s">
        <v>18</v>
      </c>
      <c r="B10" s="2" t="s">
        <v>19</v>
      </c>
    </row>
    <row r="11" spans="1:2" x14ac:dyDescent="0.25">
      <c r="A11" s="3" t="s">
        <v>20</v>
      </c>
      <c r="B11" s="2" t="s">
        <v>21</v>
      </c>
    </row>
    <row r="12" spans="1:2" x14ac:dyDescent="0.25">
      <c r="A12" s="3" t="s">
        <v>22</v>
      </c>
      <c r="B12" s="2" t="s">
        <v>23</v>
      </c>
    </row>
    <row r="13" spans="1:2" x14ac:dyDescent="0.25">
      <c r="A13" s="3" t="s">
        <v>24</v>
      </c>
      <c r="B13" s="2" t="s">
        <v>25</v>
      </c>
    </row>
    <row r="14" spans="1:2" x14ac:dyDescent="0.25">
      <c r="A14" s="3" t="s">
        <v>26</v>
      </c>
      <c r="B14" s="2" t="s">
        <v>27</v>
      </c>
    </row>
    <row r="15" spans="1:2" x14ac:dyDescent="0.25">
      <c r="A15" s="3" t="s">
        <v>28</v>
      </c>
      <c r="B15" s="2" t="s">
        <v>29</v>
      </c>
    </row>
    <row r="16" spans="1:2" x14ac:dyDescent="0.25">
      <c r="A16" s="3" t="s">
        <v>30</v>
      </c>
      <c r="B16" s="2" t="s">
        <v>31</v>
      </c>
    </row>
    <row r="17" spans="1:2" x14ac:dyDescent="0.25">
      <c r="A17" s="3" t="s">
        <v>32</v>
      </c>
      <c r="B17" s="2" t="s">
        <v>33</v>
      </c>
    </row>
    <row r="18" spans="1:2" x14ac:dyDescent="0.25">
      <c r="A18" s="3" t="s">
        <v>34</v>
      </c>
      <c r="B18" s="2" t="s">
        <v>35</v>
      </c>
    </row>
    <row r="19" spans="1:2" x14ac:dyDescent="0.25">
      <c r="A19" s="3" t="s">
        <v>36</v>
      </c>
      <c r="B19" s="2" t="s">
        <v>37</v>
      </c>
    </row>
    <row r="20" spans="1:2" x14ac:dyDescent="0.25">
      <c r="A20" s="3" t="s">
        <v>38</v>
      </c>
      <c r="B20" s="2" t="s">
        <v>39</v>
      </c>
    </row>
    <row r="21" spans="1:2" x14ac:dyDescent="0.25">
      <c r="A21" s="3" t="s">
        <v>40</v>
      </c>
      <c r="B21" s="2" t="s">
        <v>41</v>
      </c>
    </row>
    <row r="22" spans="1:2" x14ac:dyDescent="0.25">
      <c r="A22" s="3" t="s">
        <v>42</v>
      </c>
      <c r="B22" s="2" t="s">
        <v>43</v>
      </c>
    </row>
    <row r="23" spans="1:2" x14ac:dyDescent="0.25">
      <c r="A23" s="3" t="s">
        <v>44</v>
      </c>
      <c r="B23" s="2" t="s">
        <v>45</v>
      </c>
    </row>
    <row r="24" spans="1:2" x14ac:dyDescent="0.25">
      <c r="A24" s="3" t="s">
        <v>46</v>
      </c>
      <c r="B24" s="2" t="s">
        <v>47</v>
      </c>
    </row>
    <row r="25" spans="1:2" x14ac:dyDescent="0.25">
      <c r="A25" s="3" t="s">
        <v>48</v>
      </c>
      <c r="B25" s="2" t="s">
        <v>49</v>
      </c>
    </row>
    <row r="26" spans="1:2" x14ac:dyDescent="0.25">
      <c r="A26" s="3" t="s">
        <v>50</v>
      </c>
      <c r="B26" s="2" t="s">
        <v>51</v>
      </c>
    </row>
    <row r="27" spans="1:2" x14ac:dyDescent="0.25">
      <c r="A27" s="3" t="s">
        <v>52</v>
      </c>
      <c r="B27" s="2" t="s">
        <v>53</v>
      </c>
    </row>
    <row r="28" spans="1:2" x14ac:dyDescent="0.25">
      <c r="A28" s="3" t="s">
        <v>54</v>
      </c>
      <c r="B28" s="2" t="s">
        <v>55</v>
      </c>
    </row>
    <row r="29" spans="1:2" x14ac:dyDescent="0.25">
      <c r="A29" s="3" t="s">
        <v>56</v>
      </c>
      <c r="B29" s="2" t="s">
        <v>57</v>
      </c>
    </row>
    <row r="30" spans="1:2" x14ac:dyDescent="0.25">
      <c r="A30" s="3" t="s">
        <v>58</v>
      </c>
      <c r="B30" s="2" t="s">
        <v>59</v>
      </c>
    </row>
    <row r="31" spans="1:2" x14ac:dyDescent="0.25">
      <c r="A31" s="3" t="s">
        <v>60</v>
      </c>
      <c r="B31" s="2" t="s">
        <v>61</v>
      </c>
    </row>
    <row r="32" spans="1:2" x14ac:dyDescent="0.25">
      <c r="A32" s="3" t="s">
        <v>62</v>
      </c>
      <c r="B32" s="2" t="s">
        <v>63</v>
      </c>
    </row>
    <row r="33" spans="1:2" x14ac:dyDescent="0.25">
      <c r="A33" s="3" t="s">
        <v>64</v>
      </c>
      <c r="B33" s="2" t="s">
        <v>65</v>
      </c>
    </row>
    <row r="34" spans="1:2" x14ac:dyDescent="0.25">
      <c r="A34" s="3" t="s">
        <v>66</v>
      </c>
      <c r="B34" s="2" t="s">
        <v>67</v>
      </c>
    </row>
    <row r="35" spans="1:2" x14ac:dyDescent="0.25">
      <c r="A35" s="3" t="s">
        <v>68</v>
      </c>
      <c r="B35" s="2" t="s">
        <v>69</v>
      </c>
    </row>
    <row r="36" spans="1:2" x14ac:dyDescent="0.25">
      <c r="A36" s="3" t="s">
        <v>70</v>
      </c>
      <c r="B36" s="2" t="s">
        <v>71</v>
      </c>
    </row>
    <row r="37" spans="1:2" x14ac:dyDescent="0.25">
      <c r="A37" s="3" t="s">
        <v>72</v>
      </c>
      <c r="B37" s="2" t="s">
        <v>73</v>
      </c>
    </row>
    <row r="38" spans="1:2" x14ac:dyDescent="0.25">
      <c r="A38" s="3" t="s">
        <v>74</v>
      </c>
      <c r="B38" s="2" t="s">
        <v>75</v>
      </c>
    </row>
    <row r="39" spans="1:2" x14ac:dyDescent="0.25">
      <c r="A39" s="3" t="s">
        <v>76</v>
      </c>
      <c r="B39" s="2" t="s">
        <v>77</v>
      </c>
    </row>
    <row r="40" spans="1:2" x14ac:dyDescent="0.25">
      <c r="A40" s="3" t="s">
        <v>78</v>
      </c>
      <c r="B40" s="2" t="s">
        <v>79</v>
      </c>
    </row>
    <row r="41" spans="1:2" x14ac:dyDescent="0.25">
      <c r="A41" s="3" t="s">
        <v>80</v>
      </c>
      <c r="B41" s="2" t="s">
        <v>81</v>
      </c>
    </row>
    <row r="42" spans="1:2" x14ac:dyDescent="0.25">
      <c r="A42" s="3" t="s">
        <v>82</v>
      </c>
      <c r="B42" s="2" t="s">
        <v>83</v>
      </c>
    </row>
    <row r="43" spans="1:2" x14ac:dyDescent="0.25">
      <c r="A43" s="3" t="s">
        <v>84</v>
      </c>
      <c r="B43" s="2" t="s">
        <v>85</v>
      </c>
    </row>
    <row r="44" spans="1:2" x14ac:dyDescent="0.25">
      <c r="A44" s="3" t="s">
        <v>86</v>
      </c>
      <c r="B44" s="2" t="s">
        <v>87</v>
      </c>
    </row>
    <row r="45" spans="1:2" x14ac:dyDescent="0.25">
      <c r="A45" s="3" t="s">
        <v>88</v>
      </c>
      <c r="B45" s="2" t="s">
        <v>89</v>
      </c>
    </row>
    <row r="46" spans="1:2" x14ac:dyDescent="0.25">
      <c r="A46" s="3" t="s">
        <v>90</v>
      </c>
      <c r="B46" s="2" t="s">
        <v>91</v>
      </c>
    </row>
    <row r="47" spans="1:2" x14ac:dyDescent="0.25">
      <c r="A47" s="3" t="s">
        <v>92</v>
      </c>
      <c r="B47" s="2" t="s">
        <v>93</v>
      </c>
    </row>
    <row r="48" spans="1:2" x14ac:dyDescent="0.25">
      <c r="A48" s="3" t="s">
        <v>94</v>
      </c>
      <c r="B48" s="2" t="s">
        <v>95</v>
      </c>
    </row>
    <row r="49" spans="1:2" x14ac:dyDescent="0.25">
      <c r="A49" s="3" t="s">
        <v>96</v>
      </c>
      <c r="B49" s="2" t="s">
        <v>97</v>
      </c>
    </row>
    <row r="50" spans="1:2" x14ac:dyDescent="0.25">
      <c r="A50" s="3" t="s">
        <v>98</v>
      </c>
      <c r="B50" s="2" t="s">
        <v>99</v>
      </c>
    </row>
    <row r="51" spans="1:2" x14ac:dyDescent="0.25">
      <c r="A51" s="3" t="s">
        <v>100</v>
      </c>
      <c r="B51" s="2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4</vt:i4>
      </vt:variant>
      <vt:variant>
        <vt:lpstr>Pomenované rozsahy</vt:lpstr>
      </vt:variant>
      <vt:variant>
        <vt:i4>1</vt:i4>
      </vt:variant>
    </vt:vector>
  </HeadingPairs>
  <TitlesOfParts>
    <vt:vector size="5" baseType="lpstr">
      <vt:lpstr>Hodiny</vt:lpstr>
      <vt:lpstr>Učitelia</vt:lpstr>
      <vt:lpstr>Preferencie</vt:lpstr>
      <vt:lpstr>Predmety a skratky</vt:lpstr>
      <vt:lpstr>TeacherDropDownList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Valek</dc:creator>
  <cp:lastModifiedBy>Samuel Valek</cp:lastModifiedBy>
  <dcterms:created xsi:type="dcterms:W3CDTF">2026-10-13T11:10:56Z</dcterms:created>
  <dcterms:modified xsi:type="dcterms:W3CDTF">2026-10-13T14:20:13Z</dcterms:modified>
</cp:coreProperties>
</file>